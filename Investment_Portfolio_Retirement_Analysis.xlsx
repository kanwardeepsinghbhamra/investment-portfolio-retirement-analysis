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dd4f598506d40c/Documents/My_Projects/Investment_Portfolio_Analysis/"/>
    </mc:Choice>
  </mc:AlternateContent>
  <xr:revisionPtr revIDLastSave="125" documentId="8_{CA0E5E2F-371C-46AA-ACDE-071D64BBD068}" xr6:coauthVersionLast="47" xr6:coauthVersionMax="47" xr10:uidLastSave="{41EAB569-9993-4FBB-A0BA-3791869B0B62}"/>
  <bookViews>
    <workbookView xWindow="-120" yWindow="-120" windowWidth="29040" windowHeight="15720" activeTab="4" xr2:uid="{67A452BE-B5FF-4B0B-9EFA-D23B6605CC98}"/>
  </bookViews>
  <sheets>
    <sheet name="SP500_Clean" sheetId="2" r:id="rId1"/>
    <sheet name="SP500_Monthly" sheetId="3" r:id="rId2"/>
    <sheet name="VOO_Monthly" sheetId="8" r:id="rId3"/>
    <sheet name="VOO_Raw" sheetId="7" r:id="rId4"/>
    <sheet name="Performance_Summary" sheetId="4" r:id="rId5"/>
    <sheet name="SP500_Raw" sheetId="1" r:id="rId6"/>
    <sheet name="401K_Calculator" sheetId="5" r:id="rId7"/>
  </sheets>
  <definedNames>
    <definedName name="ExternalData_1" localSheetId="2" hidden="1">VOO_Monthly!$A$1:$F$61</definedName>
    <definedName name="ExternalData_1" localSheetId="3" hidden="1">VOO_Raw!$A$1:$F$61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4" l="1"/>
  <c r="U4" i="4"/>
  <c r="U3" i="4"/>
  <c r="J5" i="8"/>
  <c r="J4" i="8"/>
  <c r="J8" i="8"/>
  <c r="J7" i="8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4" i="5"/>
  <c r="L3" i="8"/>
  <c r="J3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" i="5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" i="5"/>
  <c r="R5" i="4"/>
  <c r="R6" i="4"/>
  <c r="E4" i="5"/>
  <c r="E3" i="5"/>
  <c r="E5" i="5" s="1"/>
  <c r="O12" i="4"/>
  <c r="O11" i="4"/>
  <c r="O10" i="4"/>
  <c r="O8" i="4"/>
  <c r="O7" i="4"/>
  <c r="I5" i="4"/>
  <c r="O5" i="4" s="1"/>
  <c r="K4" i="4"/>
  <c r="L4" i="4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3" i="3"/>
  <c r="E2" i="3"/>
  <c r="B3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A1306" i="2"/>
  <c r="D1306" i="2" s="1"/>
  <c r="E1306" i="2" s="1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63" i="2"/>
  <c r="F40" i="2"/>
  <c r="E148" i="2"/>
  <c r="E404" i="2"/>
  <c r="E660" i="2"/>
  <c r="E916" i="2"/>
  <c r="E1172" i="2"/>
  <c r="D2" i="2"/>
  <c r="D3" i="2"/>
  <c r="E3" i="2" s="1"/>
  <c r="D4" i="2"/>
  <c r="D5" i="2"/>
  <c r="E5" i="2" s="1"/>
  <c r="D6" i="2"/>
  <c r="D7" i="2"/>
  <c r="D8" i="2"/>
  <c r="D9" i="2"/>
  <c r="E9" i="2" s="1"/>
  <c r="D10" i="2"/>
  <c r="E10" i="2" s="1"/>
  <c r="D11" i="2"/>
  <c r="E11" i="2" s="1"/>
  <c r="D12" i="2"/>
  <c r="D13" i="2"/>
  <c r="E13" i="2" s="1"/>
  <c r="D14" i="2"/>
  <c r="D15" i="2"/>
  <c r="E15" i="2" s="1"/>
  <c r="D16" i="2"/>
  <c r="E16" i="2" s="1"/>
  <c r="D17" i="2"/>
  <c r="D18" i="2"/>
  <c r="D19" i="2"/>
  <c r="E19" i="2" s="1"/>
  <c r="D20" i="2"/>
  <c r="E20" i="2" s="1"/>
  <c r="D21" i="2"/>
  <c r="E21" i="2" s="1"/>
  <c r="D22" i="2"/>
  <c r="D23" i="2"/>
  <c r="D24" i="2"/>
  <c r="D25" i="2"/>
  <c r="E25" i="2" s="1"/>
  <c r="D26" i="2"/>
  <c r="D27" i="2"/>
  <c r="E27" i="2" s="1"/>
  <c r="D28" i="2"/>
  <c r="D29" i="2"/>
  <c r="E29" i="2" s="1"/>
  <c r="D30" i="2"/>
  <c r="D31" i="2"/>
  <c r="D32" i="2"/>
  <c r="E32" i="2" s="1"/>
  <c r="D33" i="2"/>
  <c r="D34" i="2"/>
  <c r="D35" i="2"/>
  <c r="E35" i="2" s="1"/>
  <c r="D36" i="2"/>
  <c r="E36" i="2" s="1"/>
  <c r="D37" i="2"/>
  <c r="E37" i="2" s="1"/>
  <c r="D38" i="2"/>
  <c r="D39" i="2"/>
  <c r="D40" i="2"/>
  <c r="D41" i="2"/>
  <c r="E41" i="2" s="1"/>
  <c r="D42" i="2"/>
  <c r="D43" i="2"/>
  <c r="E43" i="2" s="1"/>
  <c r="D44" i="2"/>
  <c r="D45" i="2"/>
  <c r="E45" i="2" s="1"/>
  <c r="D46" i="2"/>
  <c r="D47" i="2"/>
  <c r="D48" i="2"/>
  <c r="E48" i="2" s="1"/>
  <c r="D49" i="2"/>
  <c r="E49" i="2" s="1"/>
  <c r="D50" i="2"/>
  <c r="D51" i="2"/>
  <c r="E51" i="2" s="1"/>
  <c r="D52" i="2"/>
  <c r="E52" i="2" s="1"/>
  <c r="D53" i="2"/>
  <c r="E53" i="2" s="1"/>
  <c r="D54" i="2"/>
  <c r="D55" i="2"/>
  <c r="D56" i="2"/>
  <c r="D57" i="2"/>
  <c r="E57" i="2" s="1"/>
  <c r="D58" i="2"/>
  <c r="D59" i="2"/>
  <c r="E59" i="2" s="1"/>
  <c r="D60" i="2"/>
  <c r="D61" i="2"/>
  <c r="E61" i="2" s="1"/>
  <c r="D62" i="2"/>
  <c r="D63" i="2"/>
  <c r="D64" i="2"/>
  <c r="E64" i="2" s="1"/>
  <c r="D65" i="2"/>
  <c r="E65" i="2" s="1"/>
  <c r="D66" i="2"/>
  <c r="D67" i="2"/>
  <c r="E67" i="2" s="1"/>
  <c r="D68" i="2"/>
  <c r="E68" i="2" s="1"/>
  <c r="D69" i="2"/>
  <c r="E69" i="2" s="1"/>
  <c r="D70" i="2"/>
  <c r="D71" i="2"/>
  <c r="D72" i="2"/>
  <c r="D73" i="2"/>
  <c r="E73" i="2" s="1"/>
  <c r="D74" i="2"/>
  <c r="D75" i="2"/>
  <c r="E75" i="2" s="1"/>
  <c r="D76" i="2"/>
  <c r="D77" i="2"/>
  <c r="E77" i="2" s="1"/>
  <c r="D78" i="2"/>
  <c r="D79" i="2"/>
  <c r="D80" i="2"/>
  <c r="E80" i="2" s="1"/>
  <c r="D81" i="2"/>
  <c r="E81" i="2" s="1"/>
  <c r="D82" i="2"/>
  <c r="D83" i="2"/>
  <c r="E83" i="2" s="1"/>
  <c r="D84" i="2"/>
  <c r="E84" i="2" s="1"/>
  <c r="D85" i="2"/>
  <c r="E85" i="2" s="1"/>
  <c r="D86" i="2"/>
  <c r="D87" i="2"/>
  <c r="D88" i="2"/>
  <c r="D89" i="2"/>
  <c r="E89" i="2" s="1"/>
  <c r="D90" i="2"/>
  <c r="D91" i="2"/>
  <c r="E91" i="2" s="1"/>
  <c r="D92" i="2"/>
  <c r="D93" i="2"/>
  <c r="E93" i="2" s="1"/>
  <c r="D94" i="2"/>
  <c r="D95" i="2"/>
  <c r="D96" i="2"/>
  <c r="E96" i="2" s="1"/>
  <c r="D97" i="2"/>
  <c r="E97" i="2" s="1"/>
  <c r="D98" i="2"/>
  <c r="D99" i="2"/>
  <c r="E99" i="2" s="1"/>
  <c r="D100" i="2"/>
  <c r="E100" i="2" s="1"/>
  <c r="D101" i="2"/>
  <c r="E101" i="2" s="1"/>
  <c r="D102" i="2"/>
  <c r="D103" i="2"/>
  <c r="D104" i="2"/>
  <c r="D105" i="2"/>
  <c r="E105" i="2" s="1"/>
  <c r="D106" i="2"/>
  <c r="D107" i="2"/>
  <c r="E107" i="2" s="1"/>
  <c r="D108" i="2"/>
  <c r="D109" i="2"/>
  <c r="E109" i="2" s="1"/>
  <c r="D110" i="2"/>
  <c r="D111" i="2"/>
  <c r="D112" i="2"/>
  <c r="E112" i="2" s="1"/>
  <c r="D113" i="2"/>
  <c r="E113" i="2" s="1"/>
  <c r="D114" i="2"/>
  <c r="D115" i="2"/>
  <c r="E115" i="2" s="1"/>
  <c r="D116" i="2"/>
  <c r="E116" i="2" s="1"/>
  <c r="D117" i="2"/>
  <c r="E117" i="2" s="1"/>
  <c r="D118" i="2"/>
  <c r="D119" i="2"/>
  <c r="D120" i="2"/>
  <c r="D121" i="2"/>
  <c r="E121" i="2" s="1"/>
  <c r="D122" i="2"/>
  <c r="D123" i="2"/>
  <c r="E123" i="2" s="1"/>
  <c r="D124" i="2"/>
  <c r="D125" i="2"/>
  <c r="E125" i="2" s="1"/>
  <c r="D126" i="2"/>
  <c r="D127" i="2"/>
  <c r="D128" i="2"/>
  <c r="E128" i="2" s="1"/>
  <c r="D129" i="2"/>
  <c r="E129" i="2" s="1"/>
  <c r="D130" i="2"/>
  <c r="D131" i="2"/>
  <c r="E131" i="2" s="1"/>
  <c r="D132" i="2"/>
  <c r="E132" i="2" s="1"/>
  <c r="D133" i="2"/>
  <c r="E133" i="2" s="1"/>
  <c r="D134" i="2"/>
  <c r="D135" i="2"/>
  <c r="D136" i="2"/>
  <c r="D137" i="2"/>
  <c r="E137" i="2" s="1"/>
  <c r="D138" i="2"/>
  <c r="D139" i="2"/>
  <c r="E139" i="2" s="1"/>
  <c r="D140" i="2"/>
  <c r="D141" i="2"/>
  <c r="E141" i="2" s="1"/>
  <c r="D142" i="2"/>
  <c r="D143" i="2"/>
  <c r="D144" i="2"/>
  <c r="E144" i="2" s="1"/>
  <c r="D145" i="2"/>
  <c r="E145" i="2" s="1"/>
  <c r="D146" i="2"/>
  <c r="D147" i="2"/>
  <c r="E147" i="2" s="1"/>
  <c r="D148" i="2"/>
  <c r="D149" i="2"/>
  <c r="E149" i="2" s="1"/>
  <c r="D150" i="2"/>
  <c r="D151" i="2"/>
  <c r="D152" i="2"/>
  <c r="D153" i="2"/>
  <c r="E153" i="2" s="1"/>
  <c r="D154" i="2"/>
  <c r="D155" i="2"/>
  <c r="E155" i="2" s="1"/>
  <c r="D156" i="2"/>
  <c r="D157" i="2"/>
  <c r="E157" i="2" s="1"/>
  <c r="D158" i="2"/>
  <c r="D159" i="2"/>
  <c r="D160" i="2"/>
  <c r="E160" i="2" s="1"/>
  <c r="D161" i="2"/>
  <c r="E161" i="2" s="1"/>
  <c r="D162" i="2"/>
  <c r="D163" i="2"/>
  <c r="E163" i="2" s="1"/>
  <c r="D164" i="2"/>
  <c r="E164" i="2" s="1"/>
  <c r="D165" i="2"/>
  <c r="E165" i="2" s="1"/>
  <c r="D166" i="2"/>
  <c r="D167" i="2"/>
  <c r="D168" i="2"/>
  <c r="D169" i="2"/>
  <c r="E169" i="2" s="1"/>
  <c r="D170" i="2"/>
  <c r="D171" i="2"/>
  <c r="E171" i="2" s="1"/>
  <c r="D172" i="2"/>
  <c r="D173" i="2"/>
  <c r="E173" i="2" s="1"/>
  <c r="D174" i="2"/>
  <c r="D175" i="2"/>
  <c r="D176" i="2"/>
  <c r="E176" i="2" s="1"/>
  <c r="D177" i="2"/>
  <c r="E177" i="2" s="1"/>
  <c r="D178" i="2"/>
  <c r="D179" i="2"/>
  <c r="E179" i="2" s="1"/>
  <c r="D180" i="2"/>
  <c r="E180" i="2" s="1"/>
  <c r="D181" i="2"/>
  <c r="E181" i="2" s="1"/>
  <c r="D182" i="2"/>
  <c r="D183" i="2"/>
  <c r="D184" i="2"/>
  <c r="D185" i="2"/>
  <c r="E185" i="2" s="1"/>
  <c r="D186" i="2"/>
  <c r="D187" i="2"/>
  <c r="E187" i="2" s="1"/>
  <c r="D188" i="2"/>
  <c r="D189" i="2"/>
  <c r="E189" i="2" s="1"/>
  <c r="D190" i="2"/>
  <c r="D191" i="2"/>
  <c r="D192" i="2"/>
  <c r="E192" i="2" s="1"/>
  <c r="D193" i="2"/>
  <c r="E193" i="2" s="1"/>
  <c r="D194" i="2"/>
  <c r="D195" i="2"/>
  <c r="E195" i="2" s="1"/>
  <c r="D196" i="2"/>
  <c r="E196" i="2" s="1"/>
  <c r="D197" i="2"/>
  <c r="E197" i="2" s="1"/>
  <c r="D198" i="2"/>
  <c r="D199" i="2"/>
  <c r="D200" i="2"/>
  <c r="D201" i="2"/>
  <c r="E201" i="2" s="1"/>
  <c r="D202" i="2"/>
  <c r="D203" i="2"/>
  <c r="E203" i="2" s="1"/>
  <c r="D204" i="2"/>
  <c r="D205" i="2"/>
  <c r="E205" i="2" s="1"/>
  <c r="D206" i="2"/>
  <c r="D207" i="2"/>
  <c r="D208" i="2"/>
  <c r="E208" i="2" s="1"/>
  <c r="D209" i="2"/>
  <c r="E209" i="2" s="1"/>
  <c r="D210" i="2"/>
  <c r="D211" i="2"/>
  <c r="E211" i="2" s="1"/>
  <c r="D212" i="2"/>
  <c r="E212" i="2" s="1"/>
  <c r="D213" i="2"/>
  <c r="E213" i="2" s="1"/>
  <c r="D214" i="2"/>
  <c r="D215" i="2"/>
  <c r="D216" i="2"/>
  <c r="D217" i="2"/>
  <c r="E217" i="2" s="1"/>
  <c r="D218" i="2"/>
  <c r="D219" i="2"/>
  <c r="E219" i="2" s="1"/>
  <c r="D220" i="2"/>
  <c r="D221" i="2"/>
  <c r="E221" i="2" s="1"/>
  <c r="D222" i="2"/>
  <c r="D223" i="2"/>
  <c r="D224" i="2"/>
  <c r="E224" i="2" s="1"/>
  <c r="D225" i="2"/>
  <c r="E225" i="2" s="1"/>
  <c r="D226" i="2"/>
  <c r="D227" i="2"/>
  <c r="E227" i="2" s="1"/>
  <c r="D228" i="2"/>
  <c r="E228" i="2" s="1"/>
  <c r="D229" i="2"/>
  <c r="E229" i="2" s="1"/>
  <c r="D230" i="2"/>
  <c r="D231" i="2"/>
  <c r="D232" i="2"/>
  <c r="D233" i="2"/>
  <c r="E233" i="2" s="1"/>
  <c r="D234" i="2"/>
  <c r="D235" i="2"/>
  <c r="E235" i="2" s="1"/>
  <c r="D236" i="2"/>
  <c r="D237" i="2"/>
  <c r="E237" i="2" s="1"/>
  <c r="D238" i="2"/>
  <c r="D239" i="2"/>
  <c r="D240" i="2"/>
  <c r="E240" i="2" s="1"/>
  <c r="D241" i="2"/>
  <c r="E241" i="2" s="1"/>
  <c r="D242" i="2"/>
  <c r="D243" i="2"/>
  <c r="E243" i="2" s="1"/>
  <c r="D244" i="2"/>
  <c r="E244" i="2" s="1"/>
  <c r="D245" i="2"/>
  <c r="E245" i="2" s="1"/>
  <c r="D246" i="2"/>
  <c r="D247" i="2"/>
  <c r="D248" i="2"/>
  <c r="D249" i="2"/>
  <c r="E249" i="2" s="1"/>
  <c r="D250" i="2"/>
  <c r="D251" i="2"/>
  <c r="E251" i="2" s="1"/>
  <c r="D252" i="2"/>
  <c r="D253" i="2"/>
  <c r="E253" i="2" s="1"/>
  <c r="D254" i="2"/>
  <c r="D255" i="2"/>
  <c r="D256" i="2"/>
  <c r="E256" i="2" s="1"/>
  <c r="D257" i="2"/>
  <c r="E257" i="2" s="1"/>
  <c r="D258" i="2"/>
  <c r="D259" i="2"/>
  <c r="E259" i="2" s="1"/>
  <c r="D260" i="2"/>
  <c r="E260" i="2" s="1"/>
  <c r="D261" i="2"/>
  <c r="E261" i="2" s="1"/>
  <c r="D262" i="2"/>
  <c r="D263" i="2"/>
  <c r="D264" i="2"/>
  <c r="D265" i="2"/>
  <c r="E265" i="2" s="1"/>
  <c r="D266" i="2"/>
  <c r="D267" i="2"/>
  <c r="E267" i="2" s="1"/>
  <c r="D268" i="2"/>
  <c r="D269" i="2"/>
  <c r="E269" i="2" s="1"/>
  <c r="D270" i="2"/>
  <c r="D271" i="2"/>
  <c r="D272" i="2"/>
  <c r="E272" i="2" s="1"/>
  <c r="D273" i="2"/>
  <c r="E273" i="2" s="1"/>
  <c r="D274" i="2"/>
  <c r="D275" i="2"/>
  <c r="E275" i="2" s="1"/>
  <c r="D276" i="2"/>
  <c r="E276" i="2" s="1"/>
  <c r="D277" i="2"/>
  <c r="E277" i="2" s="1"/>
  <c r="D278" i="2"/>
  <c r="D279" i="2"/>
  <c r="D280" i="2"/>
  <c r="D281" i="2"/>
  <c r="E281" i="2" s="1"/>
  <c r="D282" i="2"/>
  <c r="D283" i="2"/>
  <c r="E283" i="2" s="1"/>
  <c r="D284" i="2"/>
  <c r="D285" i="2"/>
  <c r="E285" i="2" s="1"/>
  <c r="D286" i="2"/>
  <c r="D287" i="2"/>
  <c r="D288" i="2"/>
  <c r="E288" i="2" s="1"/>
  <c r="D289" i="2"/>
  <c r="E289" i="2" s="1"/>
  <c r="D290" i="2"/>
  <c r="D291" i="2"/>
  <c r="E291" i="2" s="1"/>
  <c r="D292" i="2"/>
  <c r="E292" i="2" s="1"/>
  <c r="D293" i="2"/>
  <c r="E293" i="2" s="1"/>
  <c r="D294" i="2"/>
  <c r="D295" i="2"/>
  <c r="D296" i="2"/>
  <c r="D297" i="2"/>
  <c r="E297" i="2" s="1"/>
  <c r="D298" i="2"/>
  <c r="D299" i="2"/>
  <c r="E299" i="2" s="1"/>
  <c r="D300" i="2"/>
  <c r="D301" i="2"/>
  <c r="E301" i="2" s="1"/>
  <c r="D302" i="2"/>
  <c r="D303" i="2"/>
  <c r="D304" i="2"/>
  <c r="E304" i="2" s="1"/>
  <c r="D305" i="2"/>
  <c r="E305" i="2" s="1"/>
  <c r="D306" i="2"/>
  <c r="D307" i="2"/>
  <c r="E307" i="2" s="1"/>
  <c r="D308" i="2"/>
  <c r="E308" i="2" s="1"/>
  <c r="D309" i="2"/>
  <c r="E309" i="2" s="1"/>
  <c r="D310" i="2"/>
  <c r="D311" i="2"/>
  <c r="D312" i="2"/>
  <c r="D313" i="2"/>
  <c r="E313" i="2" s="1"/>
  <c r="D314" i="2"/>
  <c r="D315" i="2"/>
  <c r="E315" i="2" s="1"/>
  <c r="D316" i="2"/>
  <c r="D317" i="2"/>
  <c r="E317" i="2" s="1"/>
  <c r="D318" i="2"/>
  <c r="D319" i="2"/>
  <c r="D320" i="2"/>
  <c r="E320" i="2" s="1"/>
  <c r="D321" i="2"/>
  <c r="E321" i="2" s="1"/>
  <c r="D322" i="2"/>
  <c r="D323" i="2"/>
  <c r="E323" i="2" s="1"/>
  <c r="D324" i="2"/>
  <c r="E324" i="2" s="1"/>
  <c r="D325" i="2"/>
  <c r="E325" i="2" s="1"/>
  <c r="D326" i="2"/>
  <c r="E326" i="2" s="1"/>
  <c r="D327" i="2"/>
  <c r="D328" i="2"/>
  <c r="D329" i="2"/>
  <c r="E329" i="2" s="1"/>
  <c r="D330" i="2"/>
  <c r="D331" i="2"/>
  <c r="E331" i="2" s="1"/>
  <c r="D332" i="2"/>
  <c r="D333" i="2"/>
  <c r="E333" i="2" s="1"/>
  <c r="D334" i="2"/>
  <c r="D335" i="2"/>
  <c r="D336" i="2"/>
  <c r="E336" i="2" s="1"/>
  <c r="D337" i="2"/>
  <c r="E337" i="2" s="1"/>
  <c r="D338" i="2"/>
  <c r="D339" i="2"/>
  <c r="E339" i="2" s="1"/>
  <c r="D340" i="2"/>
  <c r="E340" i="2" s="1"/>
  <c r="D341" i="2"/>
  <c r="D342" i="2"/>
  <c r="E342" i="2" s="1"/>
  <c r="D343" i="2"/>
  <c r="D344" i="2"/>
  <c r="D345" i="2"/>
  <c r="E345" i="2" s="1"/>
  <c r="D346" i="2"/>
  <c r="D347" i="2"/>
  <c r="E347" i="2" s="1"/>
  <c r="D348" i="2"/>
  <c r="D349" i="2"/>
  <c r="E349" i="2" s="1"/>
  <c r="D350" i="2"/>
  <c r="D351" i="2"/>
  <c r="D352" i="2"/>
  <c r="E352" i="2" s="1"/>
  <c r="D353" i="2"/>
  <c r="E353" i="2" s="1"/>
  <c r="D354" i="2"/>
  <c r="D355" i="2"/>
  <c r="E355" i="2" s="1"/>
  <c r="D356" i="2"/>
  <c r="E356" i="2" s="1"/>
  <c r="D357" i="2"/>
  <c r="D358" i="2"/>
  <c r="E358" i="2" s="1"/>
  <c r="D359" i="2"/>
  <c r="D360" i="2"/>
  <c r="D361" i="2"/>
  <c r="E361" i="2" s="1"/>
  <c r="D362" i="2"/>
  <c r="D363" i="2"/>
  <c r="E363" i="2" s="1"/>
  <c r="D364" i="2"/>
  <c r="D365" i="2"/>
  <c r="E365" i="2" s="1"/>
  <c r="D366" i="2"/>
  <c r="D367" i="2"/>
  <c r="D368" i="2"/>
  <c r="E368" i="2" s="1"/>
  <c r="D369" i="2"/>
  <c r="E369" i="2" s="1"/>
  <c r="D370" i="2"/>
  <c r="D371" i="2"/>
  <c r="E371" i="2" s="1"/>
  <c r="D372" i="2"/>
  <c r="E372" i="2" s="1"/>
  <c r="D373" i="2"/>
  <c r="D374" i="2"/>
  <c r="E374" i="2" s="1"/>
  <c r="D375" i="2"/>
  <c r="D376" i="2"/>
  <c r="D377" i="2"/>
  <c r="E377" i="2" s="1"/>
  <c r="D378" i="2"/>
  <c r="D379" i="2"/>
  <c r="E379" i="2" s="1"/>
  <c r="D380" i="2"/>
  <c r="D381" i="2"/>
  <c r="E381" i="2" s="1"/>
  <c r="D382" i="2"/>
  <c r="D383" i="2"/>
  <c r="D384" i="2"/>
  <c r="E384" i="2" s="1"/>
  <c r="D385" i="2"/>
  <c r="E385" i="2" s="1"/>
  <c r="D386" i="2"/>
  <c r="D387" i="2"/>
  <c r="E387" i="2" s="1"/>
  <c r="D388" i="2"/>
  <c r="E388" i="2" s="1"/>
  <c r="D389" i="2"/>
  <c r="D390" i="2"/>
  <c r="E390" i="2" s="1"/>
  <c r="D391" i="2"/>
  <c r="D392" i="2"/>
  <c r="D393" i="2"/>
  <c r="E393" i="2" s="1"/>
  <c r="D394" i="2"/>
  <c r="D395" i="2"/>
  <c r="E395" i="2" s="1"/>
  <c r="D396" i="2"/>
  <c r="D397" i="2"/>
  <c r="E397" i="2" s="1"/>
  <c r="D398" i="2"/>
  <c r="D399" i="2"/>
  <c r="D400" i="2"/>
  <c r="E400" i="2" s="1"/>
  <c r="D401" i="2"/>
  <c r="E401" i="2" s="1"/>
  <c r="D402" i="2"/>
  <c r="D403" i="2"/>
  <c r="E403" i="2" s="1"/>
  <c r="D404" i="2"/>
  <c r="D405" i="2"/>
  <c r="D406" i="2"/>
  <c r="E406" i="2" s="1"/>
  <c r="D407" i="2"/>
  <c r="D408" i="2"/>
  <c r="D409" i="2"/>
  <c r="E409" i="2" s="1"/>
  <c r="D410" i="2"/>
  <c r="D411" i="2"/>
  <c r="E411" i="2" s="1"/>
  <c r="D412" i="2"/>
  <c r="D413" i="2"/>
  <c r="E413" i="2" s="1"/>
  <c r="D414" i="2"/>
  <c r="D415" i="2"/>
  <c r="D416" i="2"/>
  <c r="E416" i="2" s="1"/>
  <c r="D417" i="2"/>
  <c r="E417" i="2" s="1"/>
  <c r="D418" i="2"/>
  <c r="D419" i="2"/>
  <c r="E419" i="2" s="1"/>
  <c r="D420" i="2"/>
  <c r="E420" i="2" s="1"/>
  <c r="D421" i="2"/>
  <c r="D422" i="2"/>
  <c r="E422" i="2" s="1"/>
  <c r="D423" i="2"/>
  <c r="D424" i="2"/>
  <c r="D425" i="2"/>
  <c r="E425" i="2" s="1"/>
  <c r="D426" i="2"/>
  <c r="D427" i="2"/>
  <c r="E427" i="2" s="1"/>
  <c r="D428" i="2"/>
  <c r="D429" i="2"/>
  <c r="E429" i="2" s="1"/>
  <c r="D430" i="2"/>
  <c r="D431" i="2"/>
  <c r="D432" i="2"/>
  <c r="E432" i="2" s="1"/>
  <c r="D433" i="2"/>
  <c r="E433" i="2" s="1"/>
  <c r="D434" i="2"/>
  <c r="D435" i="2"/>
  <c r="E435" i="2" s="1"/>
  <c r="D436" i="2"/>
  <c r="E436" i="2" s="1"/>
  <c r="D437" i="2"/>
  <c r="D438" i="2"/>
  <c r="E438" i="2" s="1"/>
  <c r="D439" i="2"/>
  <c r="D440" i="2"/>
  <c r="D441" i="2"/>
  <c r="E441" i="2" s="1"/>
  <c r="D442" i="2"/>
  <c r="D443" i="2"/>
  <c r="E443" i="2" s="1"/>
  <c r="D444" i="2"/>
  <c r="D445" i="2"/>
  <c r="E445" i="2" s="1"/>
  <c r="D446" i="2"/>
  <c r="D447" i="2"/>
  <c r="D448" i="2"/>
  <c r="E448" i="2" s="1"/>
  <c r="D449" i="2"/>
  <c r="E449" i="2" s="1"/>
  <c r="D450" i="2"/>
  <c r="D451" i="2"/>
  <c r="E451" i="2" s="1"/>
  <c r="D452" i="2"/>
  <c r="E452" i="2" s="1"/>
  <c r="D453" i="2"/>
  <c r="D454" i="2"/>
  <c r="E454" i="2" s="1"/>
  <c r="D455" i="2"/>
  <c r="D456" i="2"/>
  <c r="D457" i="2"/>
  <c r="E457" i="2" s="1"/>
  <c r="D458" i="2"/>
  <c r="D459" i="2"/>
  <c r="E459" i="2" s="1"/>
  <c r="D460" i="2"/>
  <c r="D461" i="2"/>
  <c r="E461" i="2" s="1"/>
  <c r="D462" i="2"/>
  <c r="D463" i="2"/>
  <c r="D464" i="2"/>
  <c r="E464" i="2" s="1"/>
  <c r="D465" i="2"/>
  <c r="E465" i="2" s="1"/>
  <c r="D466" i="2"/>
  <c r="D467" i="2"/>
  <c r="E467" i="2" s="1"/>
  <c r="D468" i="2"/>
  <c r="E468" i="2" s="1"/>
  <c r="D469" i="2"/>
  <c r="D470" i="2"/>
  <c r="E470" i="2" s="1"/>
  <c r="D471" i="2"/>
  <c r="D472" i="2"/>
  <c r="D473" i="2"/>
  <c r="E473" i="2" s="1"/>
  <c r="D474" i="2"/>
  <c r="D475" i="2"/>
  <c r="E475" i="2" s="1"/>
  <c r="D476" i="2"/>
  <c r="D477" i="2"/>
  <c r="E477" i="2" s="1"/>
  <c r="D478" i="2"/>
  <c r="D479" i="2"/>
  <c r="D480" i="2"/>
  <c r="E480" i="2" s="1"/>
  <c r="D481" i="2"/>
  <c r="E481" i="2" s="1"/>
  <c r="D482" i="2"/>
  <c r="D483" i="2"/>
  <c r="E483" i="2" s="1"/>
  <c r="D484" i="2"/>
  <c r="E484" i="2" s="1"/>
  <c r="D485" i="2"/>
  <c r="D486" i="2"/>
  <c r="E486" i="2" s="1"/>
  <c r="D487" i="2"/>
  <c r="D488" i="2"/>
  <c r="D489" i="2"/>
  <c r="E489" i="2" s="1"/>
  <c r="D490" i="2"/>
  <c r="D491" i="2"/>
  <c r="E491" i="2" s="1"/>
  <c r="D492" i="2"/>
  <c r="D493" i="2"/>
  <c r="E493" i="2" s="1"/>
  <c r="D494" i="2"/>
  <c r="D495" i="2"/>
  <c r="D496" i="2"/>
  <c r="E496" i="2" s="1"/>
  <c r="D497" i="2"/>
  <c r="E497" i="2" s="1"/>
  <c r="D498" i="2"/>
  <c r="D499" i="2"/>
  <c r="E499" i="2" s="1"/>
  <c r="D500" i="2"/>
  <c r="E500" i="2" s="1"/>
  <c r="D501" i="2"/>
  <c r="D502" i="2"/>
  <c r="E502" i="2" s="1"/>
  <c r="D503" i="2"/>
  <c r="D504" i="2"/>
  <c r="D505" i="2"/>
  <c r="E505" i="2" s="1"/>
  <c r="D506" i="2"/>
  <c r="D507" i="2"/>
  <c r="E507" i="2" s="1"/>
  <c r="D508" i="2"/>
  <c r="D509" i="2"/>
  <c r="E509" i="2" s="1"/>
  <c r="D510" i="2"/>
  <c r="D511" i="2"/>
  <c r="D512" i="2"/>
  <c r="E512" i="2" s="1"/>
  <c r="D513" i="2"/>
  <c r="E513" i="2" s="1"/>
  <c r="D514" i="2"/>
  <c r="D515" i="2"/>
  <c r="E515" i="2" s="1"/>
  <c r="D516" i="2"/>
  <c r="E516" i="2" s="1"/>
  <c r="D517" i="2"/>
  <c r="D518" i="2"/>
  <c r="E518" i="2" s="1"/>
  <c r="D519" i="2"/>
  <c r="D520" i="2"/>
  <c r="D521" i="2"/>
  <c r="E521" i="2" s="1"/>
  <c r="D522" i="2"/>
  <c r="D523" i="2"/>
  <c r="E523" i="2" s="1"/>
  <c r="D524" i="2"/>
  <c r="D525" i="2"/>
  <c r="E525" i="2" s="1"/>
  <c r="D526" i="2"/>
  <c r="D527" i="2"/>
  <c r="D528" i="2"/>
  <c r="E528" i="2" s="1"/>
  <c r="D529" i="2"/>
  <c r="E529" i="2" s="1"/>
  <c r="D530" i="2"/>
  <c r="D531" i="2"/>
  <c r="E531" i="2" s="1"/>
  <c r="D532" i="2"/>
  <c r="E532" i="2" s="1"/>
  <c r="D533" i="2"/>
  <c r="D534" i="2"/>
  <c r="E534" i="2" s="1"/>
  <c r="D535" i="2"/>
  <c r="D536" i="2"/>
  <c r="D537" i="2"/>
  <c r="E537" i="2" s="1"/>
  <c r="D538" i="2"/>
  <c r="D539" i="2"/>
  <c r="E539" i="2" s="1"/>
  <c r="D540" i="2"/>
  <c r="D541" i="2"/>
  <c r="E541" i="2" s="1"/>
  <c r="D542" i="2"/>
  <c r="D543" i="2"/>
  <c r="D544" i="2"/>
  <c r="E544" i="2" s="1"/>
  <c r="D545" i="2"/>
  <c r="E545" i="2" s="1"/>
  <c r="D546" i="2"/>
  <c r="D547" i="2"/>
  <c r="E547" i="2" s="1"/>
  <c r="D548" i="2"/>
  <c r="E548" i="2" s="1"/>
  <c r="D549" i="2"/>
  <c r="D550" i="2"/>
  <c r="E550" i="2" s="1"/>
  <c r="D551" i="2"/>
  <c r="D552" i="2"/>
  <c r="D553" i="2"/>
  <c r="E553" i="2" s="1"/>
  <c r="D554" i="2"/>
  <c r="D555" i="2"/>
  <c r="E555" i="2" s="1"/>
  <c r="D556" i="2"/>
  <c r="D557" i="2"/>
  <c r="E557" i="2" s="1"/>
  <c r="D558" i="2"/>
  <c r="D559" i="2"/>
  <c r="D560" i="2"/>
  <c r="E560" i="2" s="1"/>
  <c r="D561" i="2"/>
  <c r="E561" i="2" s="1"/>
  <c r="D562" i="2"/>
  <c r="D563" i="2"/>
  <c r="E563" i="2" s="1"/>
  <c r="D564" i="2"/>
  <c r="E564" i="2" s="1"/>
  <c r="D565" i="2"/>
  <c r="D566" i="2"/>
  <c r="E566" i="2" s="1"/>
  <c r="D567" i="2"/>
  <c r="D568" i="2"/>
  <c r="D569" i="2"/>
  <c r="E569" i="2" s="1"/>
  <c r="D570" i="2"/>
  <c r="D571" i="2"/>
  <c r="E571" i="2" s="1"/>
  <c r="D572" i="2"/>
  <c r="D573" i="2"/>
  <c r="E573" i="2" s="1"/>
  <c r="D574" i="2"/>
  <c r="D575" i="2"/>
  <c r="D576" i="2"/>
  <c r="E576" i="2" s="1"/>
  <c r="D577" i="2"/>
  <c r="E577" i="2" s="1"/>
  <c r="D578" i="2"/>
  <c r="D579" i="2"/>
  <c r="E579" i="2" s="1"/>
  <c r="D580" i="2"/>
  <c r="E580" i="2" s="1"/>
  <c r="D581" i="2"/>
  <c r="D582" i="2"/>
  <c r="E582" i="2" s="1"/>
  <c r="D583" i="2"/>
  <c r="D584" i="2"/>
  <c r="D585" i="2"/>
  <c r="E585" i="2" s="1"/>
  <c r="D586" i="2"/>
  <c r="D587" i="2"/>
  <c r="E587" i="2" s="1"/>
  <c r="D588" i="2"/>
  <c r="D589" i="2"/>
  <c r="E589" i="2" s="1"/>
  <c r="D590" i="2"/>
  <c r="D591" i="2"/>
  <c r="D592" i="2"/>
  <c r="E592" i="2" s="1"/>
  <c r="D593" i="2"/>
  <c r="E593" i="2" s="1"/>
  <c r="D594" i="2"/>
  <c r="D595" i="2"/>
  <c r="E595" i="2" s="1"/>
  <c r="D596" i="2"/>
  <c r="E596" i="2" s="1"/>
  <c r="D597" i="2"/>
  <c r="D598" i="2"/>
  <c r="E598" i="2" s="1"/>
  <c r="D599" i="2"/>
  <c r="D600" i="2"/>
  <c r="D601" i="2"/>
  <c r="E601" i="2" s="1"/>
  <c r="D602" i="2"/>
  <c r="D603" i="2"/>
  <c r="E603" i="2" s="1"/>
  <c r="D604" i="2"/>
  <c r="D605" i="2"/>
  <c r="E605" i="2" s="1"/>
  <c r="D606" i="2"/>
  <c r="D607" i="2"/>
  <c r="D608" i="2"/>
  <c r="E608" i="2" s="1"/>
  <c r="D609" i="2"/>
  <c r="E609" i="2" s="1"/>
  <c r="D610" i="2"/>
  <c r="D611" i="2"/>
  <c r="E611" i="2" s="1"/>
  <c r="D612" i="2"/>
  <c r="E612" i="2" s="1"/>
  <c r="D613" i="2"/>
  <c r="D614" i="2"/>
  <c r="E614" i="2" s="1"/>
  <c r="D615" i="2"/>
  <c r="D616" i="2"/>
  <c r="D617" i="2"/>
  <c r="E617" i="2" s="1"/>
  <c r="D618" i="2"/>
  <c r="D619" i="2"/>
  <c r="E619" i="2" s="1"/>
  <c r="D620" i="2"/>
  <c r="D621" i="2"/>
  <c r="E621" i="2" s="1"/>
  <c r="D622" i="2"/>
  <c r="D623" i="2"/>
  <c r="D624" i="2"/>
  <c r="E624" i="2" s="1"/>
  <c r="D625" i="2"/>
  <c r="E625" i="2" s="1"/>
  <c r="D626" i="2"/>
  <c r="D627" i="2"/>
  <c r="E627" i="2" s="1"/>
  <c r="D628" i="2"/>
  <c r="E628" i="2" s="1"/>
  <c r="D629" i="2"/>
  <c r="D630" i="2"/>
  <c r="E630" i="2" s="1"/>
  <c r="D631" i="2"/>
  <c r="D632" i="2"/>
  <c r="D633" i="2"/>
  <c r="E633" i="2" s="1"/>
  <c r="D634" i="2"/>
  <c r="D635" i="2"/>
  <c r="E635" i="2" s="1"/>
  <c r="D636" i="2"/>
  <c r="D637" i="2"/>
  <c r="E637" i="2" s="1"/>
  <c r="D638" i="2"/>
  <c r="D639" i="2"/>
  <c r="D640" i="2"/>
  <c r="E640" i="2" s="1"/>
  <c r="D641" i="2"/>
  <c r="E641" i="2" s="1"/>
  <c r="D642" i="2"/>
  <c r="D643" i="2"/>
  <c r="E643" i="2" s="1"/>
  <c r="D644" i="2"/>
  <c r="E644" i="2" s="1"/>
  <c r="D645" i="2"/>
  <c r="D646" i="2"/>
  <c r="E646" i="2" s="1"/>
  <c r="D647" i="2"/>
  <c r="D648" i="2"/>
  <c r="D649" i="2"/>
  <c r="E649" i="2" s="1"/>
  <c r="D650" i="2"/>
  <c r="D651" i="2"/>
  <c r="E651" i="2" s="1"/>
  <c r="D652" i="2"/>
  <c r="D653" i="2"/>
  <c r="E653" i="2" s="1"/>
  <c r="D654" i="2"/>
  <c r="D655" i="2"/>
  <c r="D656" i="2"/>
  <c r="E656" i="2" s="1"/>
  <c r="D657" i="2"/>
  <c r="E657" i="2" s="1"/>
  <c r="D658" i="2"/>
  <c r="D659" i="2"/>
  <c r="E659" i="2" s="1"/>
  <c r="D660" i="2"/>
  <c r="D661" i="2"/>
  <c r="D662" i="2"/>
  <c r="E662" i="2" s="1"/>
  <c r="D663" i="2"/>
  <c r="D664" i="2"/>
  <c r="D665" i="2"/>
  <c r="E665" i="2" s="1"/>
  <c r="D666" i="2"/>
  <c r="D667" i="2"/>
  <c r="E667" i="2" s="1"/>
  <c r="D668" i="2"/>
  <c r="D669" i="2"/>
  <c r="E669" i="2" s="1"/>
  <c r="D670" i="2"/>
  <c r="D671" i="2"/>
  <c r="D672" i="2"/>
  <c r="E672" i="2" s="1"/>
  <c r="D673" i="2"/>
  <c r="E673" i="2" s="1"/>
  <c r="D674" i="2"/>
  <c r="D675" i="2"/>
  <c r="E675" i="2" s="1"/>
  <c r="D676" i="2"/>
  <c r="E676" i="2" s="1"/>
  <c r="D677" i="2"/>
  <c r="D678" i="2"/>
  <c r="E678" i="2" s="1"/>
  <c r="D679" i="2"/>
  <c r="D680" i="2"/>
  <c r="D681" i="2"/>
  <c r="E681" i="2" s="1"/>
  <c r="D682" i="2"/>
  <c r="D683" i="2"/>
  <c r="E683" i="2" s="1"/>
  <c r="D684" i="2"/>
  <c r="D685" i="2"/>
  <c r="E685" i="2" s="1"/>
  <c r="D686" i="2"/>
  <c r="D687" i="2"/>
  <c r="D688" i="2"/>
  <c r="E688" i="2" s="1"/>
  <c r="D689" i="2"/>
  <c r="E689" i="2" s="1"/>
  <c r="D690" i="2"/>
  <c r="D691" i="2"/>
  <c r="E691" i="2" s="1"/>
  <c r="D692" i="2"/>
  <c r="E692" i="2" s="1"/>
  <c r="D693" i="2"/>
  <c r="D694" i="2"/>
  <c r="E694" i="2" s="1"/>
  <c r="D695" i="2"/>
  <c r="D696" i="2"/>
  <c r="D697" i="2"/>
  <c r="E697" i="2" s="1"/>
  <c r="D698" i="2"/>
  <c r="D699" i="2"/>
  <c r="E699" i="2" s="1"/>
  <c r="D700" i="2"/>
  <c r="D701" i="2"/>
  <c r="E701" i="2" s="1"/>
  <c r="D702" i="2"/>
  <c r="D703" i="2"/>
  <c r="D704" i="2"/>
  <c r="E704" i="2" s="1"/>
  <c r="D705" i="2"/>
  <c r="E705" i="2" s="1"/>
  <c r="D706" i="2"/>
  <c r="D707" i="2"/>
  <c r="E707" i="2" s="1"/>
  <c r="D708" i="2"/>
  <c r="E708" i="2" s="1"/>
  <c r="D709" i="2"/>
  <c r="D710" i="2"/>
  <c r="E710" i="2" s="1"/>
  <c r="D711" i="2"/>
  <c r="D712" i="2"/>
  <c r="D713" i="2"/>
  <c r="E713" i="2" s="1"/>
  <c r="D714" i="2"/>
  <c r="D715" i="2"/>
  <c r="E715" i="2" s="1"/>
  <c r="D716" i="2"/>
  <c r="D717" i="2"/>
  <c r="E717" i="2" s="1"/>
  <c r="D718" i="2"/>
  <c r="D719" i="2"/>
  <c r="D720" i="2"/>
  <c r="E720" i="2" s="1"/>
  <c r="D721" i="2"/>
  <c r="E721" i="2" s="1"/>
  <c r="D722" i="2"/>
  <c r="D723" i="2"/>
  <c r="E723" i="2" s="1"/>
  <c r="D724" i="2"/>
  <c r="E724" i="2" s="1"/>
  <c r="D725" i="2"/>
  <c r="D726" i="2"/>
  <c r="E726" i="2" s="1"/>
  <c r="D727" i="2"/>
  <c r="D728" i="2"/>
  <c r="D729" i="2"/>
  <c r="E729" i="2" s="1"/>
  <c r="D730" i="2"/>
  <c r="D731" i="2"/>
  <c r="E731" i="2" s="1"/>
  <c r="D732" i="2"/>
  <c r="D733" i="2"/>
  <c r="E733" i="2" s="1"/>
  <c r="D734" i="2"/>
  <c r="D735" i="2"/>
  <c r="D736" i="2"/>
  <c r="E736" i="2" s="1"/>
  <c r="D737" i="2"/>
  <c r="E737" i="2" s="1"/>
  <c r="D738" i="2"/>
  <c r="D739" i="2"/>
  <c r="E739" i="2" s="1"/>
  <c r="D740" i="2"/>
  <c r="E740" i="2" s="1"/>
  <c r="D741" i="2"/>
  <c r="D742" i="2"/>
  <c r="E742" i="2" s="1"/>
  <c r="D743" i="2"/>
  <c r="D744" i="2"/>
  <c r="D745" i="2"/>
  <c r="E745" i="2" s="1"/>
  <c r="D746" i="2"/>
  <c r="D747" i="2"/>
  <c r="E747" i="2" s="1"/>
  <c r="D748" i="2"/>
  <c r="D749" i="2"/>
  <c r="E749" i="2" s="1"/>
  <c r="D750" i="2"/>
  <c r="D751" i="2"/>
  <c r="D752" i="2"/>
  <c r="E752" i="2" s="1"/>
  <c r="D753" i="2"/>
  <c r="E753" i="2" s="1"/>
  <c r="D754" i="2"/>
  <c r="D755" i="2"/>
  <c r="E755" i="2" s="1"/>
  <c r="D756" i="2"/>
  <c r="E756" i="2" s="1"/>
  <c r="D757" i="2"/>
  <c r="D758" i="2"/>
  <c r="E758" i="2" s="1"/>
  <c r="D759" i="2"/>
  <c r="D760" i="2"/>
  <c r="D761" i="2"/>
  <c r="E761" i="2" s="1"/>
  <c r="D762" i="2"/>
  <c r="D763" i="2"/>
  <c r="E763" i="2" s="1"/>
  <c r="D764" i="2"/>
  <c r="D765" i="2"/>
  <c r="E765" i="2" s="1"/>
  <c r="D766" i="2"/>
  <c r="D767" i="2"/>
  <c r="D768" i="2"/>
  <c r="E768" i="2" s="1"/>
  <c r="D769" i="2"/>
  <c r="E769" i="2" s="1"/>
  <c r="D770" i="2"/>
  <c r="D771" i="2"/>
  <c r="E771" i="2" s="1"/>
  <c r="D772" i="2"/>
  <c r="E772" i="2" s="1"/>
  <c r="D773" i="2"/>
  <c r="D774" i="2"/>
  <c r="E774" i="2" s="1"/>
  <c r="D775" i="2"/>
  <c r="D776" i="2"/>
  <c r="D777" i="2"/>
  <c r="E777" i="2" s="1"/>
  <c r="D778" i="2"/>
  <c r="D779" i="2"/>
  <c r="E779" i="2" s="1"/>
  <c r="D780" i="2"/>
  <c r="D781" i="2"/>
  <c r="E781" i="2" s="1"/>
  <c r="D782" i="2"/>
  <c r="D783" i="2"/>
  <c r="D784" i="2"/>
  <c r="E784" i="2" s="1"/>
  <c r="D785" i="2"/>
  <c r="E785" i="2" s="1"/>
  <c r="D786" i="2"/>
  <c r="D787" i="2"/>
  <c r="E787" i="2" s="1"/>
  <c r="D788" i="2"/>
  <c r="E788" i="2" s="1"/>
  <c r="D789" i="2"/>
  <c r="D790" i="2"/>
  <c r="E790" i="2" s="1"/>
  <c r="D791" i="2"/>
  <c r="D792" i="2"/>
  <c r="D793" i="2"/>
  <c r="E793" i="2" s="1"/>
  <c r="D794" i="2"/>
  <c r="D795" i="2"/>
  <c r="E795" i="2" s="1"/>
  <c r="D796" i="2"/>
  <c r="D797" i="2"/>
  <c r="E797" i="2" s="1"/>
  <c r="D798" i="2"/>
  <c r="D799" i="2"/>
  <c r="D800" i="2"/>
  <c r="E800" i="2" s="1"/>
  <c r="D801" i="2"/>
  <c r="E801" i="2" s="1"/>
  <c r="D802" i="2"/>
  <c r="D803" i="2"/>
  <c r="E803" i="2" s="1"/>
  <c r="D804" i="2"/>
  <c r="E804" i="2" s="1"/>
  <c r="D805" i="2"/>
  <c r="D806" i="2"/>
  <c r="E806" i="2" s="1"/>
  <c r="D807" i="2"/>
  <c r="D808" i="2"/>
  <c r="D809" i="2"/>
  <c r="E809" i="2" s="1"/>
  <c r="D810" i="2"/>
  <c r="D811" i="2"/>
  <c r="E811" i="2" s="1"/>
  <c r="D812" i="2"/>
  <c r="D813" i="2"/>
  <c r="E813" i="2" s="1"/>
  <c r="D814" i="2"/>
  <c r="D815" i="2"/>
  <c r="D816" i="2"/>
  <c r="E816" i="2" s="1"/>
  <c r="D817" i="2"/>
  <c r="E817" i="2" s="1"/>
  <c r="D818" i="2"/>
  <c r="D819" i="2"/>
  <c r="E819" i="2" s="1"/>
  <c r="D820" i="2"/>
  <c r="E820" i="2" s="1"/>
  <c r="D821" i="2"/>
  <c r="D822" i="2"/>
  <c r="E822" i="2" s="1"/>
  <c r="D823" i="2"/>
  <c r="D824" i="2"/>
  <c r="D825" i="2"/>
  <c r="E825" i="2" s="1"/>
  <c r="D826" i="2"/>
  <c r="D827" i="2"/>
  <c r="E827" i="2" s="1"/>
  <c r="D828" i="2"/>
  <c r="D829" i="2"/>
  <c r="E829" i="2" s="1"/>
  <c r="D830" i="2"/>
  <c r="D831" i="2"/>
  <c r="D832" i="2"/>
  <c r="E832" i="2" s="1"/>
  <c r="D833" i="2"/>
  <c r="E833" i="2" s="1"/>
  <c r="D834" i="2"/>
  <c r="D835" i="2"/>
  <c r="E835" i="2" s="1"/>
  <c r="D836" i="2"/>
  <c r="E836" i="2" s="1"/>
  <c r="D837" i="2"/>
  <c r="D838" i="2"/>
  <c r="E838" i="2" s="1"/>
  <c r="D839" i="2"/>
  <c r="D840" i="2"/>
  <c r="D841" i="2"/>
  <c r="E841" i="2" s="1"/>
  <c r="D842" i="2"/>
  <c r="D843" i="2"/>
  <c r="E843" i="2" s="1"/>
  <c r="D844" i="2"/>
  <c r="D845" i="2"/>
  <c r="E845" i="2" s="1"/>
  <c r="D846" i="2"/>
  <c r="D847" i="2"/>
  <c r="D848" i="2"/>
  <c r="E848" i="2" s="1"/>
  <c r="D849" i="2"/>
  <c r="E849" i="2" s="1"/>
  <c r="D850" i="2"/>
  <c r="D851" i="2"/>
  <c r="E851" i="2" s="1"/>
  <c r="D852" i="2"/>
  <c r="E852" i="2" s="1"/>
  <c r="D853" i="2"/>
  <c r="D854" i="2"/>
  <c r="E854" i="2" s="1"/>
  <c r="D855" i="2"/>
  <c r="D856" i="2"/>
  <c r="D857" i="2"/>
  <c r="E857" i="2" s="1"/>
  <c r="D858" i="2"/>
  <c r="D859" i="2"/>
  <c r="E859" i="2" s="1"/>
  <c r="D860" i="2"/>
  <c r="D861" i="2"/>
  <c r="E861" i="2" s="1"/>
  <c r="D862" i="2"/>
  <c r="D863" i="2"/>
  <c r="D864" i="2"/>
  <c r="E864" i="2" s="1"/>
  <c r="D865" i="2"/>
  <c r="E865" i="2" s="1"/>
  <c r="D866" i="2"/>
  <c r="D867" i="2"/>
  <c r="E867" i="2" s="1"/>
  <c r="D868" i="2"/>
  <c r="E868" i="2" s="1"/>
  <c r="D869" i="2"/>
  <c r="D870" i="2"/>
  <c r="E870" i="2" s="1"/>
  <c r="D871" i="2"/>
  <c r="D872" i="2"/>
  <c r="D873" i="2"/>
  <c r="E873" i="2" s="1"/>
  <c r="D874" i="2"/>
  <c r="D875" i="2"/>
  <c r="E875" i="2" s="1"/>
  <c r="D876" i="2"/>
  <c r="D877" i="2"/>
  <c r="E877" i="2" s="1"/>
  <c r="D878" i="2"/>
  <c r="D879" i="2"/>
  <c r="D880" i="2"/>
  <c r="E880" i="2" s="1"/>
  <c r="D881" i="2"/>
  <c r="E881" i="2" s="1"/>
  <c r="D882" i="2"/>
  <c r="D883" i="2"/>
  <c r="E883" i="2" s="1"/>
  <c r="D884" i="2"/>
  <c r="E884" i="2" s="1"/>
  <c r="D885" i="2"/>
  <c r="D886" i="2"/>
  <c r="E886" i="2" s="1"/>
  <c r="D887" i="2"/>
  <c r="D888" i="2"/>
  <c r="D889" i="2"/>
  <c r="E889" i="2" s="1"/>
  <c r="D890" i="2"/>
  <c r="D891" i="2"/>
  <c r="E891" i="2" s="1"/>
  <c r="D892" i="2"/>
  <c r="D893" i="2"/>
  <c r="E893" i="2" s="1"/>
  <c r="D894" i="2"/>
  <c r="D895" i="2"/>
  <c r="D896" i="2"/>
  <c r="E896" i="2" s="1"/>
  <c r="D897" i="2"/>
  <c r="E897" i="2" s="1"/>
  <c r="D898" i="2"/>
  <c r="D899" i="2"/>
  <c r="E899" i="2" s="1"/>
  <c r="D900" i="2"/>
  <c r="E900" i="2" s="1"/>
  <c r="D901" i="2"/>
  <c r="D902" i="2"/>
  <c r="E902" i="2" s="1"/>
  <c r="D903" i="2"/>
  <c r="D904" i="2"/>
  <c r="D905" i="2"/>
  <c r="E905" i="2" s="1"/>
  <c r="D906" i="2"/>
  <c r="D907" i="2"/>
  <c r="E907" i="2" s="1"/>
  <c r="D908" i="2"/>
  <c r="D909" i="2"/>
  <c r="E909" i="2" s="1"/>
  <c r="D910" i="2"/>
  <c r="D911" i="2"/>
  <c r="D912" i="2"/>
  <c r="E912" i="2" s="1"/>
  <c r="D913" i="2"/>
  <c r="E913" i="2" s="1"/>
  <c r="D914" i="2"/>
  <c r="D915" i="2"/>
  <c r="E915" i="2" s="1"/>
  <c r="D916" i="2"/>
  <c r="D917" i="2"/>
  <c r="D918" i="2"/>
  <c r="E918" i="2" s="1"/>
  <c r="D919" i="2"/>
  <c r="D920" i="2"/>
  <c r="D921" i="2"/>
  <c r="E921" i="2" s="1"/>
  <c r="D922" i="2"/>
  <c r="D923" i="2"/>
  <c r="E923" i="2" s="1"/>
  <c r="D924" i="2"/>
  <c r="D925" i="2"/>
  <c r="E925" i="2" s="1"/>
  <c r="D926" i="2"/>
  <c r="D927" i="2"/>
  <c r="D928" i="2"/>
  <c r="E928" i="2" s="1"/>
  <c r="D929" i="2"/>
  <c r="E929" i="2" s="1"/>
  <c r="D930" i="2"/>
  <c r="D931" i="2"/>
  <c r="E931" i="2" s="1"/>
  <c r="D932" i="2"/>
  <c r="E932" i="2" s="1"/>
  <c r="D933" i="2"/>
  <c r="D934" i="2"/>
  <c r="E934" i="2" s="1"/>
  <c r="D935" i="2"/>
  <c r="D936" i="2"/>
  <c r="D937" i="2"/>
  <c r="E937" i="2" s="1"/>
  <c r="D938" i="2"/>
  <c r="D939" i="2"/>
  <c r="E939" i="2" s="1"/>
  <c r="D940" i="2"/>
  <c r="D941" i="2"/>
  <c r="E941" i="2" s="1"/>
  <c r="D942" i="2"/>
  <c r="D943" i="2"/>
  <c r="D944" i="2"/>
  <c r="E944" i="2" s="1"/>
  <c r="D945" i="2"/>
  <c r="E945" i="2" s="1"/>
  <c r="D946" i="2"/>
  <c r="D947" i="2"/>
  <c r="E947" i="2" s="1"/>
  <c r="D948" i="2"/>
  <c r="E948" i="2" s="1"/>
  <c r="D949" i="2"/>
  <c r="D950" i="2"/>
  <c r="E950" i="2" s="1"/>
  <c r="D951" i="2"/>
  <c r="D952" i="2"/>
  <c r="D953" i="2"/>
  <c r="E953" i="2" s="1"/>
  <c r="D954" i="2"/>
  <c r="D955" i="2"/>
  <c r="E955" i="2" s="1"/>
  <c r="D956" i="2"/>
  <c r="D957" i="2"/>
  <c r="E957" i="2" s="1"/>
  <c r="D958" i="2"/>
  <c r="D959" i="2"/>
  <c r="D960" i="2"/>
  <c r="E960" i="2" s="1"/>
  <c r="D961" i="2"/>
  <c r="E961" i="2" s="1"/>
  <c r="D962" i="2"/>
  <c r="D963" i="2"/>
  <c r="E963" i="2" s="1"/>
  <c r="D964" i="2"/>
  <c r="E964" i="2" s="1"/>
  <c r="D965" i="2"/>
  <c r="D966" i="2"/>
  <c r="E966" i="2" s="1"/>
  <c r="D967" i="2"/>
  <c r="D968" i="2"/>
  <c r="D969" i="2"/>
  <c r="E969" i="2" s="1"/>
  <c r="D970" i="2"/>
  <c r="D971" i="2"/>
  <c r="E971" i="2" s="1"/>
  <c r="D972" i="2"/>
  <c r="D973" i="2"/>
  <c r="E973" i="2" s="1"/>
  <c r="D974" i="2"/>
  <c r="D975" i="2"/>
  <c r="D976" i="2"/>
  <c r="E976" i="2" s="1"/>
  <c r="D977" i="2"/>
  <c r="E977" i="2" s="1"/>
  <c r="D978" i="2"/>
  <c r="D979" i="2"/>
  <c r="E979" i="2" s="1"/>
  <c r="D980" i="2"/>
  <c r="E980" i="2" s="1"/>
  <c r="D981" i="2"/>
  <c r="D982" i="2"/>
  <c r="E982" i="2" s="1"/>
  <c r="D983" i="2"/>
  <c r="D984" i="2"/>
  <c r="D985" i="2"/>
  <c r="E985" i="2" s="1"/>
  <c r="D986" i="2"/>
  <c r="D987" i="2"/>
  <c r="E987" i="2" s="1"/>
  <c r="D988" i="2"/>
  <c r="D989" i="2"/>
  <c r="E989" i="2" s="1"/>
  <c r="D990" i="2"/>
  <c r="D991" i="2"/>
  <c r="D992" i="2"/>
  <c r="E992" i="2" s="1"/>
  <c r="D993" i="2"/>
  <c r="E993" i="2" s="1"/>
  <c r="D994" i="2"/>
  <c r="D995" i="2"/>
  <c r="E995" i="2" s="1"/>
  <c r="D996" i="2"/>
  <c r="E996" i="2" s="1"/>
  <c r="D997" i="2"/>
  <c r="D998" i="2"/>
  <c r="E998" i="2" s="1"/>
  <c r="D999" i="2"/>
  <c r="D1000" i="2"/>
  <c r="D1001" i="2"/>
  <c r="E1001" i="2" s="1"/>
  <c r="D1002" i="2"/>
  <c r="D1003" i="2"/>
  <c r="E1003" i="2" s="1"/>
  <c r="D1004" i="2"/>
  <c r="D1005" i="2"/>
  <c r="E1005" i="2" s="1"/>
  <c r="D1006" i="2"/>
  <c r="D1007" i="2"/>
  <c r="D1008" i="2"/>
  <c r="E1008" i="2" s="1"/>
  <c r="D1009" i="2"/>
  <c r="E1009" i="2" s="1"/>
  <c r="D1010" i="2"/>
  <c r="D1011" i="2"/>
  <c r="E1011" i="2" s="1"/>
  <c r="D1012" i="2"/>
  <c r="E1012" i="2" s="1"/>
  <c r="D1013" i="2"/>
  <c r="D1014" i="2"/>
  <c r="E1014" i="2" s="1"/>
  <c r="D1015" i="2"/>
  <c r="D1016" i="2"/>
  <c r="D1017" i="2"/>
  <c r="E1017" i="2" s="1"/>
  <c r="D1018" i="2"/>
  <c r="D1019" i="2"/>
  <c r="E1019" i="2" s="1"/>
  <c r="D1020" i="2"/>
  <c r="D1021" i="2"/>
  <c r="E1021" i="2" s="1"/>
  <c r="D1022" i="2"/>
  <c r="D1023" i="2"/>
  <c r="D1024" i="2"/>
  <c r="E1024" i="2" s="1"/>
  <c r="D1025" i="2"/>
  <c r="E1025" i="2" s="1"/>
  <c r="D1026" i="2"/>
  <c r="D1027" i="2"/>
  <c r="E1027" i="2" s="1"/>
  <c r="D1028" i="2"/>
  <c r="E1028" i="2" s="1"/>
  <c r="D1029" i="2"/>
  <c r="D1030" i="2"/>
  <c r="E1030" i="2" s="1"/>
  <c r="D1031" i="2"/>
  <c r="D1032" i="2"/>
  <c r="D1033" i="2"/>
  <c r="E1033" i="2" s="1"/>
  <c r="D1034" i="2"/>
  <c r="D1035" i="2"/>
  <c r="E1035" i="2" s="1"/>
  <c r="D1036" i="2"/>
  <c r="D1037" i="2"/>
  <c r="E1037" i="2" s="1"/>
  <c r="D1038" i="2"/>
  <c r="D1039" i="2"/>
  <c r="D1040" i="2"/>
  <c r="E1040" i="2" s="1"/>
  <c r="D1041" i="2"/>
  <c r="E1041" i="2" s="1"/>
  <c r="D1042" i="2"/>
  <c r="D1043" i="2"/>
  <c r="E1043" i="2" s="1"/>
  <c r="D1044" i="2"/>
  <c r="E1044" i="2" s="1"/>
  <c r="D1045" i="2"/>
  <c r="D1046" i="2"/>
  <c r="E1046" i="2" s="1"/>
  <c r="D1047" i="2"/>
  <c r="D1048" i="2"/>
  <c r="D1049" i="2"/>
  <c r="E1049" i="2" s="1"/>
  <c r="D1050" i="2"/>
  <c r="D1051" i="2"/>
  <c r="E1051" i="2" s="1"/>
  <c r="D1052" i="2"/>
  <c r="D1053" i="2"/>
  <c r="E1053" i="2" s="1"/>
  <c r="D1054" i="2"/>
  <c r="D1055" i="2"/>
  <c r="D1056" i="2"/>
  <c r="E1056" i="2" s="1"/>
  <c r="D1057" i="2"/>
  <c r="E1057" i="2" s="1"/>
  <c r="D1058" i="2"/>
  <c r="D1059" i="2"/>
  <c r="E1059" i="2" s="1"/>
  <c r="D1060" i="2"/>
  <c r="E1060" i="2" s="1"/>
  <c r="D1061" i="2"/>
  <c r="D1062" i="2"/>
  <c r="E1062" i="2" s="1"/>
  <c r="D1063" i="2"/>
  <c r="D1064" i="2"/>
  <c r="D1065" i="2"/>
  <c r="E1065" i="2" s="1"/>
  <c r="D1066" i="2"/>
  <c r="D1067" i="2"/>
  <c r="E1067" i="2" s="1"/>
  <c r="D1068" i="2"/>
  <c r="D1069" i="2"/>
  <c r="E1069" i="2" s="1"/>
  <c r="D1070" i="2"/>
  <c r="D1071" i="2"/>
  <c r="D1072" i="2"/>
  <c r="E1072" i="2" s="1"/>
  <c r="D1073" i="2"/>
  <c r="E1073" i="2" s="1"/>
  <c r="D1074" i="2"/>
  <c r="D1075" i="2"/>
  <c r="E1075" i="2" s="1"/>
  <c r="D1076" i="2"/>
  <c r="E1076" i="2" s="1"/>
  <c r="D1077" i="2"/>
  <c r="D1078" i="2"/>
  <c r="E1078" i="2" s="1"/>
  <c r="D1079" i="2"/>
  <c r="D1080" i="2"/>
  <c r="D1081" i="2"/>
  <c r="E1081" i="2" s="1"/>
  <c r="D1082" i="2"/>
  <c r="D1083" i="2"/>
  <c r="E1083" i="2" s="1"/>
  <c r="D1084" i="2"/>
  <c r="D1085" i="2"/>
  <c r="E1085" i="2" s="1"/>
  <c r="D1086" i="2"/>
  <c r="D1087" i="2"/>
  <c r="D1088" i="2"/>
  <c r="E1088" i="2" s="1"/>
  <c r="D1089" i="2"/>
  <c r="E1089" i="2" s="1"/>
  <c r="D1090" i="2"/>
  <c r="D1091" i="2"/>
  <c r="E1091" i="2" s="1"/>
  <c r="D1092" i="2"/>
  <c r="E1092" i="2" s="1"/>
  <c r="D1093" i="2"/>
  <c r="D1094" i="2"/>
  <c r="E1094" i="2" s="1"/>
  <c r="D1095" i="2"/>
  <c r="D1096" i="2"/>
  <c r="D1097" i="2"/>
  <c r="E1097" i="2" s="1"/>
  <c r="D1098" i="2"/>
  <c r="D1099" i="2"/>
  <c r="E1099" i="2" s="1"/>
  <c r="D1100" i="2"/>
  <c r="D1101" i="2"/>
  <c r="E1101" i="2" s="1"/>
  <c r="D1102" i="2"/>
  <c r="D1103" i="2"/>
  <c r="D1104" i="2"/>
  <c r="E1104" i="2" s="1"/>
  <c r="D1105" i="2"/>
  <c r="E1105" i="2" s="1"/>
  <c r="D1106" i="2"/>
  <c r="D1107" i="2"/>
  <c r="E1107" i="2" s="1"/>
  <c r="D1108" i="2"/>
  <c r="E1108" i="2" s="1"/>
  <c r="D1109" i="2"/>
  <c r="D1110" i="2"/>
  <c r="E1110" i="2" s="1"/>
  <c r="D1111" i="2"/>
  <c r="D1112" i="2"/>
  <c r="D1113" i="2"/>
  <c r="E1113" i="2" s="1"/>
  <c r="D1114" i="2"/>
  <c r="D1115" i="2"/>
  <c r="E1115" i="2" s="1"/>
  <c r="D1116" i="2"/>
  <c r="D1117" i="2"/>
  <c r="E1117" i="2" s="1"/>
  <c r="D1118" i="2"/>
  <c r="D1119" i="2"/>
  <c r="D1120" i="2"/>
  <c r="E1120" i="2" s="1"/>
  <c r="D1121" i="2"/>
  <c r="E1121" i="2" s="1"/>
  <c r="D1122" i="2"/>
  <c r="D1123" i="2"/>
  <c r="E1123" i="2" s="1"/>
  <c r="D1124" i="2"/>
  <c r="E1124" i="2" s="1"/>
  <c r="D1125" i="2"/>
  <c r="D1126" i="2"/>
  <c r="E1126" i="2" s="1"/>
  <c r="D1127" i="2"/>
  <c r="D1128" i="2"/>
  <c r="D1129" i="2"/>
  <c r="E1129" i="2" s="1"/>
  <c r="D1130" i="2"/>
  <c r="D1131" i="2"/>
  <c r="E1131" i="2" s="1"/>
  <c r="D1132" i="2"/>
  <c r="D1133" i="2"/>
  <c r="E1133" i="2" s="1"/>
  <c r="D1134" i="2"/>
  <c r="D1135" i="2"/>
  <c r="D1136" i="2"/>
  <c r="E1136" i="2" s="1"/>
  <c r="D1137" i="2"/>
  <c r="E1137" i="2" s="1"/>
  <c r="D1138" i="2"/>
  <c r="D1139" i="2"/>
  <c r="E1139" i="2" s="1"/>
  <c r="D1140" i="2"/>
  <c r="E1140" i="2" s="1"/>
  <c r="D1141" i="2"/>
  <c r="D1142" i="2"/>
  <c r="E1142" i="2" s="1"/>
  <c r="D1143" i="2"/>
  <c r="D1144" i="2"/>
  <c r="D1145" i="2"/>
  <c r="E1145" i="2" s="1"/>
  <c r="D1146" i="2"/>
  <c r="D1147" i="2"/>
  <c r="E1147" i="2" s="1"/>
  <c r="D1148" i="2"/>
  <c r="D1149" i="2"/>
  <c r="E1149" i="2" s="1"/>
  <c r="D1150" i="2"/>
  <c r="D1151" i="2"/>
  <c r="D1152" i="2"/>
  <c r="E1152" i="2" s="1"/>
  <c r="D1153" i="2"/>
  <c r="E1153" i="2" s="1"/>
  <c r="D1154" i="2"/>
  <c r="D1155" i="2"/>
  <c r="E1155" i="2" s="1"/>
  <c r="D1156" i="2"/>
  <c r="E1156" i="2" s="1"/>
  <c r="D1157" i="2"/>
  <c r="D1158" i="2"/>
  <c r="E1158" i="2" s="1"/>
  <c r="D1159" i="2"/>
  <c r="D1160" i="2"/>
  <c r="D1161" i="2"/>
  <c r="E1161" i="2" s="1"/>
  <c r="D1162" i="2"/>
  <c r="D1163" i="2"/>
  <c r="E1163" i="2" s="1"/>
  <c r="D1164" i="2"/>
  <c r="D1165" i="2"/>
  <c r="E1165" i="2" s="1"/>
  <c r="D1166" i="2"/>
  <c r="D1167" i="2"/>
  <c r="D1168" i="2"/>
  <c r="E1168" i="2" s="1"/>
  <c r="D1169" i="2"/>
  <c r="E1169" i="2" s="1"/>
  <c r="D1170" i="2"/>
  <c r="D1171" i="2"/>
  <c r="E1171" i="2" s="1"/>
  <c r="D1172" i="2"/>
  <c r="D1173" i="2"/>
  <c r="D1174" i="2"/>
  <c r="E1174" i="2" s="1"/>
  <c r="D1175" i="2"/>
  <c r="D1176" i="2"/>
  <c r="D1177" i="2"/>
  <c r="E1177" i="2" s="1"/>
  <c r="D1178" i="2"/>
  <c r="D1179" i="2"/>
  <c r="E1179" i="2" s="1"/>
  <c r="D1180" i="2"/>
  <c r="D1181" i="2"/>
  <c r="E1181" i="2" s="1"/>
  <c r="D1182" i="2"/>
  <c r="D1183" i="2"/>
  <c r="D1184" i="2"/>
  <c r="E1184" i="2" s="1"/>
  <c r="D1185" i="2"/>
  <c r="E1185" i="2" s="1"/>
  <c r="D1186" i="2"/>
  <c r="D1187" i="2"/>
  <c r="E1187" i="2" s="1"/>
  <c r="D1188" i="2"/>
  <c r="E1188" i="2" s="1"/>
  <c r="D1189" i="2"/>
  <c r="D1190" i="2"/>
  <c r="E1190" i="2" s="1"/>
  <c r="D1191" i="2"/>
  <c r="D1192" i="2"/>
  <c r="D1193" i="2"/>
  <c r="E1193" i="2" s="1"/>
  <c r="D1194" i="2"/>
  <c r="D1195" i="2"/>
  <c r="E1195" i="2" s="1"/>
  <c r="D1196" i="2"/>
  <c r="D1197" i="2"/>
  <c r="E1197" i="2" s="1"/>
  <c r="D1198" i="2"/>
  <c r="D1199" i="2"/>
  <c r="D1200" i="2"/>
  <c r="E1200" i="2" s="1"/>
  <c r="D1201" i="2"/>
  <c r="E1201" i="2" s="1"/>
  <c r="D1202" i="2"/>
  <c r="D1203" i="2"/>
  <c r="E1203" i="2" s="1"/>
  <c r="D1204" i="2"/>
  <c r="E1204" i="2" s="1"/>
  <c r="D1205" i="2"/>
  <c r="D1206" i="2"/>
  <c r="E1206" i="2" s="1"/>
  <c r="D1207" i="2"/>
  <c r="D1208" i="2"/>
  <c r="D1209" i="2"/>
  <c r="E1209" i="2" s="1"/>
  <c r="D1210" i="2"/>
  <c r="D1211" i="2"/>
  <c r="E1211" i="2" s="1"/>
  <c r="D1212" i="2"/>
  <c r="D1213" i="2"/>
  <c r="E1213" i="2" s="1"/>
  <c r="D1214" i="2"/>
  <c r="D1215" i="2"/>
  <c r="D1216" i="2"/>
  <c r="E1216" i="2" s="1"/>
  <c r="D1217" i="2"/>
  <c r="E1217" i="2" s="1"/>
  <c r="D1218" i="2"/>
  <c r="D1219" i="2"/>
  <c r="E1219" i="2" s="1"/>
  <c r="D1220" i="2"/>
  <c r="E1220" i="2" s="1"/>
  <c r="D1221" i="2"/>
  <c r="D1222" i="2"/>
  <c r="E1222" i="2" s="1"/>
  <c r="D1223" i="2"/>
  <c r="D1224" i="2"/>
  <c r="D1225" i="2"/>
  <c r="E1225" i="2" s="1"/>
  <c r="D1226" i="2"/>
  <c r="D1227" i="2"/>
  <c r="E1227" i="2" s="1"/>
  <c r="D1228" i="2"/>
  <c r="D1229" i="2"/>
  <c r="E1229" i="2" s="1"/>
  <c r="D1230" i="2"/>
  <c r="D1231" i="2"/>
  <c r="D1232" i="2"/>
  <c r="E1232" i="2" s="1"/>
  <c r="D1233" i="2"/>
  <c r="E1233" i="2" s="1"/>
  <c r="D1234" i="2"/>
  <c r="D1235" i="2"/>
  <c r="E1235" i="2" s="1"/>
  <c r="D1236" i="2"/>
  <c r="E1236" i="2" s="1"/>
  <c r="D1237" i="2"/>
  <c r="D1238" i="2"/>
  <c r="E1238" i="2" s="1"/>
  <c r="D1239" i="2"/>
  <c r="D1240" i="2"/>
  <c r="D1241" i="2"/>
  <c r="E1241" i="2" s="1"/>
  <c r="D1242" i="2"/>
  <c r="D1243" i="2"/>
  <c r="E1243" i="2" s="1"/>
  <c r="D1244" i="2"/>
  <c r="D1245" i="2"/>
  <c r="E1245" i="2" s="1"/>
  <c r="D1246" i="2"/>
  <c r="D1247" i="2"/>
  <c r="D1248" i="2"/>
  <c r="E1248" i="2" s="1"/>
  <c r="D1249" i="2"/>
  <c r="E1249" i="2" s="1"/>
  <c r="D1250" i="2"/>
  <c r="D1251" i="2"/>
  <c r="E1251" i="2" s="1"/>
  <c r="D1252" i="2"/>
  <c r="E1252" i="2" s="1"/>
  <c r="D1253" i="2"/>
  <c r="D1254" i="2"/>
  <c r="E1254" i="2" s="1"/>
  <c r="D1255" i="2"/>
  <c r="D1256" i="2"/>
  <c r="D1257" i="2"/>
  <c r="E1257" i="2" s="1"/>
  <c r="D1258" i="2"/>
  <c r="D1259" i="2"/>
  <c r="E1259" i="2" s="1"/>
  <c r="D1260" i="2"/>
  <c r="D1261" i="2"/>
  <c r="E1261" i="2" s="1"/>
  <c r="D1262" i="2"/>
  <c r="D1263" i="2"/>
  <c r="D1264" i="2"/>
  <c r="E1264" i="2" s="1"/>
  <c r="D1265" i="2"/>
  <c r="D1266" i="2"/>
  <c r="E1266" i="2" s="1"/>
  <c r="D1267" i="2"/>
  <c r="E1267" i="2" s="1"/>
  <c r="D1268" i="2"/>
  <c r="E1268" i="2" s="1"/>
  <c r="D1269" i="2"/>
  <c r="D1270" i="2"/>
  <c r="E1270" i="2" s="1"/>
  <c r="D1271" i="2"/>
  <c r="D1272" i="2"/>
  <c r="D1273" i="2"/>
  <c r="E1273" i="2" s="1"/>
  <c r="D1274" i="2"/>
  <c r="D1275" i="2"/>
  <c r="E1275" i="2" s="1"/>
  <c r="D1276" i="2"/>
  <c r="D1277" i="2"/>
  <c r="E1277" i="2" s="1"/>
  <c r="D1278" i="2"/>
  <c r="D1279" i="2"/>
  <c r="E1279" i="2" s="1"/>
  <c r="D1280" i="2"/>
  <c r="E1280" i="2" s="1"/>
  <c r="D1281" i="2"/>
  <c r="D1282" i="2"/>
  <c r="E1282" i="2" s="1"/>
  <c r="D1283" i="2"/>
  <c r="E1283" i="2" s="1"/>
  <c r="D1284" i="2"/>
  <c r="E1284" i="2" s="1"/>
  <c r="D1285" i="2"/>
  <c r="D1286" i="2"/>
  <c r="D1287" i="2"/>
  <c r="D1288" i="2"/>
  <c r="E1288" i="2" s="1"/>
  <c r="D1289" i="2"/>
  <c r="D1290" i="2"/>
  <c r="E1290" i="2" s="1"/>
  <c r="D1291" i="2"/>
  <c r="D1292" i="2"/>
  <c r="E1292" i="2" s="1"/>
  <c r="D1293" i="2"/>
  <c r="D1294" i="2"/>
  <c r="E1294" i="2" s="1"/>
  <c r="D1295" i="2"/>
  <c r="E1295" i="2" s="1"/>
  <c r="D1296" i="2"/>
  <c r="E1296" i="2" s="1"/>
  <c r="D1297" i="2"/>
  <c r="D1298" i="2"/>
  <c r="E1298" i="2" s="1"/>
  <c r="D1299" i="2"/>
  <c r="E1299" i="2" s="1"/>
  <c r="D1300" i="2"/>
  <c r="E1300" i="2" s="1"/>
  <c r="D1301" i="2"/>
  <c r="D1302" i="2"/>
  <c r="D1303" i="2"/>
  <c r="D1304" i="2"/>
  <c r="D130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F4" i="2"/>
  <c r="F4" i="1"/>
  <c r="R7" i="4" l="1"/>
  <c r="E8" i="5"/>
  <c r="R10" i="4" s="1"/>
  <c r="E7" i="5"/>
  <c r="E1287" i="2"/>
  <c r="E1272" i="2"/>
  <c r="E1256" i="2"/>
  <c r="E1240" i="2"/>
  <c r="E1224" i="2"/>
  <c r="E1208" i="2"/>
  <c r="E1192" i="2"/>
  <c r="E1176" i="2"/>
  <c r="E1160" i="2"/>
  <c r="E1144" i="2"/>
  <c r="E1128" i="2"/>
  <c r="E1112" i="2"/>
  <c r="E1096" i="2"/>
  <c r="E1080" i="2"/>
  <c r="E1064" i="2"/>
  <c r="E1048" i="2"/>
  <c r="E1032" i="2"/>
  <c r="E1016" i="2"/>
  <c r="E1000" i="2"/>
  <c r="E984" i="2"/>
  <c r="E968" i="2"/>
  <c r="E952" i="2"/>
  <c r="E936" i="2"/>
  <c r="E920" i="2"/>
  <c r="E904" i="2"/>
  <c r="E888" i="2"/>
  <c r="E872" i="2"/>
  <c r="E856" i="2"/>
  <c r="E840" i="2"/>
  <c r="E824" i="2"/>
  <c r="E808" i="2"/>
  <c r="E792" i="2"/>
  <c r="E776" i="2"/>
  <c r="E760" i="2"/>
  <c r="E744" i="2"/>
  <c r="E728" i="2"/>
  <c r="E712" i="2"/>
  <c r="E696" i="2"/>
  <c r="E680" i="2"/>
  <c r="E664" i="2"/>
  <c r="E648" i="2"/>
  <c r="E632" i="2"/>
  <c r="E616" i="2"/>
  <c r="E600" i="2"/>
  <c r="E584" i="2"/>
  <c r="E568" i="2"/>
  <c r="E552" i="2"/>
  <c r="E536" i="2"/>
  <c r="E520" i="2"/>
  <c r="E504" i="2"/>
  <c r="E488" i="2"/>
  <c r="E472" i="2"/>
  <c r="E456" i="2"/>
  <c r="E440" i="2"/>
  <c r="E424" i="2"/>
  <c r="E408" i="2"/>
  <c r="E392" i="2"/>
  <c r="E376" i="2"/>
  <c r="E360" i="2"/>
  <c r="E344" i="2"/>
  <c r="E328" i="2"/>
  <c r="E312" i="2"/>
  <c r="E296" i="2"/>
  <c r="E280" i="2"/>
  <c r="E264" i="2"/>
  <c r="E248" i="2"/>
  <c r="E232" i="2"/>
  <c r="E216" i="2"/>
  <c r="E200" i="2"/>
  <c r="E184" i="2"/>
  <c r="E168" i="2"/>
  <c r="E152" i="2"/>
  <c r="E136" i="2"/>
  <c r="E120" i="2"/>
  <c r="E104" i="2"/>
  <c r="E88" i="2"/>
  <c r="E72" i="2"/>
  <c r="E56" i="2"/>
  <c r="E40" i="2"/>
  <c r="E24" i="2"/>
  <c r="E8" i="2"/>
  <c r="E1271" i="2"/>
  <c r="E1255" i="2"/>
  <c r="E1239" i="2"/>
  <c r="E1223" i="2"/>
  <c r="E1207" i="2"/>
  <c r="E1191" i="2"/>
  <c r="E1175" i="2"/>
  <c r="E1159" i="2"/>
  <c r="E1143" i="2"/>
  <c r="E1127" i="2"/>
  <c r="E1111" i="2"/>
  <c r="E1095" i="2"/>
  <c r="E1079" i="2"/>
  <c r="E1063" i="2"/>
  <c r="E1047" i="2"/>
  <c r="E1031" i="2"/>
  <c r="E1015" i="2"/>
  <c r="E999" i="2"/>
  <c r="E983" i="2"/>
  <c r="E967" i="2"/>
  <c r="E951" i="2"/>
  <c r="E935" i="2"/>
  <c r="E919" i="2"/>
  <c r="E903" i="2"/>
  <c r="E887" i="2"/>
  <c r="E871" i="2"/>
  <c r="E855" i="2"/>
  <c r="E839" i="2"/>
  <c r="E823" i="2"/>
  <c r="E807" i="2"/>
  <c r="E791" i="2"/>
  <c r="E775" i="2"/>
  <c r="E759" i="2"/>
  <c r="E743" i="2"/>
  <c r="E727" i="2"/>
  <c r="E711" i="2"/>
  <c r="E695" i="2"/>
  <c r="E679" i="2"/>
  <c r="E663" i="2"/>
  <c r="E647" i="2"/>
  <c r="E631" i="2"/>
  <c r="E615" i="2"/>
  <c r="E599" i="2"/>
  <c r="E583" i="2"/>
  <c r="E567" i="2"/>
  <c r="E551" i="2"/>
  <c r="E535" i="2"/>
  <c r="E519" i="2"/>
  <c r="E503" i="2"/>
  <c r="E487" i="2"/>
  <c r="E471" i="2"/>
  <c r="E455" i="2"/>
  <c r="E439" i="2"/>
  <c r="E423" i="2"/>
  <c r="E407" i="2"/>
  <c r="E391" i="2"/>
  <c r="E375" i="2"/>
  <c r="E359" i="2"/>
  <c r="E343" i="2"/>
  <c r="E327" i="2"/>
  <c r="E311" i="2"/>
  <c r="E295" i="2"/>
  <c r="E279" i="2"/>
  <c r="E263" i="2"/>
  <c r="E247" i="2"/>
  <c r="E231" i="2"/>
  <c r="E215" i="2"/>
  <c r="E199" i="2"/>
  <c r="E183" i="2"/>
  <c r="E167" i="2"/>
  <c r="E151" i="2"/>
  <c r="E135" i="2"/>
  <c r="E119" i="2"/>
  <c r="E103" i="2"/>
  <c r="E87" i="2"/>
  <c r="E71" i="2"/>
  <c r="E55" i="2"/>
  <c r="E39" i="2"/>
  <c r="E23" i="2"/>
  <c r="E7" i="2"/>
  <c r="E1304" i="2"/>
  <c r="E1286" i="2"/>
  <c r="E310" i="2"/>
  <c r="E294" i="2"/>
  <c r="E278" i="2"/>
  <c r="E262" i="2"/>
  <c r="E246" i="2"/>
  <c r="E230" i="2"/>
  <c r="E214" i="2"/>
  <c r="E198" i="2"/>
  <c r="E182" i="2"/>
  <c r="E166" i="2"/>
  <c r="E150" i="2"/>
  <c r="E134" i="2"/>
  <c r="E118" i="2"/>
  <c r="E102" i="2"/>
  <c r="E86" i="2"/>
  <c r="E70" i="2"/>
  <c r="E54" i="2"/>
  <c r="E38" i="2"/>
  <c r="E22" i="2"/>
  <c r="E6" i="2"/>
  <c r="E1303" i="2"/>
  <c r="E1301" i="2"/>
  <c r="E1285" i="2"/>
  <c r="E1269" i="2"/>
  <c r="E1253" i="2"/>
  <c r="E1237" i="2"/>
  <c r="E1221" i="2"/>
  <c r="E1205" i="2"/>
  <c r="E1189" i="2"/>
  <c r="E1173" i="2"/>
  <c r="E1157" i="2"/>
  <c r="E1141" i="2"/>
  <c r="E1125" i="2"/>
  <c r="E1109" i="2"/>
  <c r="E1093" i="2"/>
  <c r="E1077" i="2"/>
  <c r="E1061" i="2"/>
  <c r="E1045" i="2"/>
  <c r="E1029" i="2"/>
  <c r="E1013" i="2"/>
  <c r="E997" i="2"/>
  <c r="E981" i="2"/>
  <c r="E965" i="2"/>
  <c r="E949" i="2"/>
  <c r="E933" i="2"/>
  <c r="E917" i="2"/>
  <c r="E901" i="2"/>
  <c r="E885" i="2"/>
  <c r="E869" i="2"/>
  <c r="E853" i="2"/>
  <c r="E837" i="2"/>
  <c r="E821" i="2"/>
  <c r="E805" i="2"/>
  <c r="E789" i="2"/>
  <c r="E773" i="2"/>
  <c r="E757" i="2"/>
  <c r="E741" i="2"/>
  <c r="E725" i="2"/>
  <c r="E709" i="2"/>
  <c r="E693" i="2"/>
  <c r="E677" i="2"/>
  <c r="E661" i="2"/>
  <c r="E645" i="2"/>
  <c r="E629" i="2"/>
  <c r="E613" i="2"/>
  <c r="E597" i="2"/>
  <c r="E581" i="2"/>
  <c r="E565" i="2"/>
  <c r="E549" i="2"/>
  <c r="E533" i="2"/>
  <c r="E517" i="2"/>
  <c r="E501" i="2"/>
  <c r="E485" i="2"/>
  <c r="E469" i="2"/>
  <c r="E453" i="2"/>
  <c r="E437" i="2"/>
  <c r="E421" i="2"/>
  <c r="E405" i="2"/>
  <c r="E389" i="2"/>
  <c r="E373" i="2"/>
  <c r="E357" i="2"/>
  <c r="E341" i="2"/>
  <c r="E1289" i="2"/>
  <c r="E1302" i="2"/>
  <c r="E4" i="2"/>
  <c r="E1250" i="2"/>
  <c r="E1234" i="2"/>
  <c r="E1218" i="2"/>
  <c r="E1202" i="2"/>
  <c r="E1186" i="2"/>
  <c r="E1170" i="2"/>
  <c r="E1154" i="2"/>
  <c r="E1138" i="2"/>
  <c r="E1122" i="2"/>
  <c r="E1106" i="2"/>
  <c r="E1090" i="2"/>
  <c r="E1074" i="2"/>
  <c r="E1058" i="2"/>
  <c r="E1042" i="2"/>
  <c r="E1026" i="2"/>
  <c r="E1010" i="2"/>
  <c r="E994" i="2"/>
  <c r="E978" i="2"/>
  <c r="E962" i="2"/>
  <c r="E946" i="2"/>
  <c r="E930" i="2"/>
  <c r="E914" i="2"/>
  <c r="E898" i="2"/>
  <c r="E882" i="2"/>
  <c r="E866" i="2"/>
  <c r="E850" i="2"/>
  <c r="E834" i="2"/>
  <c r="E818" i="2"/>
  <c r="E802" i="2"/>
  <c r="E786" i="2"/>
  <c r="E770" i="2"/>
  <c r="E754" i="2"/>
  <c r="E738" i="2"/>
  <c r="E722" i="2"/>
  <c r="E706" i="2"/>
  <c r="E690" i="2"/>
  <c r="E674" i="2"/>
  <c r="E658" i="2"/>
  <c r="E642" i="2"/>
  <c r="E626" i="2"/>
  <c r="E610" i="2"/>
  <c r="E594" i="2"/>
  <c r="E578" i="2"/>
  <c r="E562" i="2"/>
  <c r="E546" i="2"/>
  <c r="E530" i="2"/>
  <c r="E514" i="2"/>
  <c r="E498" i="2"/>
  <c r="E482" i="2"/>
  <c r="E466" i="2"/>
  <c r="E450" i="2"/>
  <c r="E434" i="2"/>
  <c r="E418" i="2"/>
  <c r="E402" i="2"/>
  <c r="E386" i="2"/>
  <c r="E370" i="2"/>
  <c r="E354" i="2"/>
  <c r="E338" i="2"/>
  <c r="E322" i="2"/>
  <c r="E306" i="2"/>
  <c r="E290" i="2"/>
  <c r="E274" i="2"/>
  <c r="E258" i="2"/>
  <c r="E242" i="2"/>
  <c r="E226" i="2"/>
  <c r="E210" i="2"/>
  <c r="E194" i="2"/>
  <c r="E178" i="2"/>
  <c r="E162" i="2"/>
  <c r="E146" i="2"/>
  <c r="E130" i="2"/>
  <c r="E114" i="2"/>
  <c r="E98" i="2"/>
  <c r="E82" i="2"/>
  <c r="E66" i="2"/>
  <c r="E50" i="2"/>
  <c r="E34" i="2"/>
  <c r="E18" i="2"/>
  <c r="E2" i="2"/>
  <c r="I9" i="4"/>
  <c r="I10" i="4" s="1"/>
  <c r="E1297" i="2"/>
  <c r="E1281" i="2"/>
  <c r="E1265" i="2"/>
  <c r="E33" i="2"/>
  <c r="E17" i="2"/>
  <c r="K5" i="4"/>
  <c r="L5" i="4" s="1"/>
  <c r="E1263" i="2"/>
  <c r="E1247" i="2"/>
  <c r="E1231" i="2"/>
  <c r="E1215" i="2"/>
  <c r="E1199" i="2"/>
  <c r="E1183" i="2"/>
  <c r="E1167" i="2"/>
  <c r="E1151" i="2"/>
  <c r="E1135" i="2"/>
  <c r="E1119" i="2"/>
  <c r="E1103" i="2"/>
  <c r="E1087" i="2"/>
  <c r="E1071" i="2"/>
  <c r="E1055" i="2"/>
  <c r="E1039" i="2"/>
  <c r="E1023" i="2"/>
  <c r="E1007" i="2"/>
  <c r="E991" i="2"/>
  <c r="E975" i="2"/>
  <c r="E959" i="2"/>
  <c r="E943" i="2"/>
  <c r="E927" i="2"/>
  <c r="E911" i="2"/>
  <c r="E895" i="2"/>
  <c r="E879" i="2"/>
  <c r="E863" i="2"/>
  <c r="E847" i="2"/>
  <c r="E831" i="2"/>
  <c r="E815" i="2"/>
  <c r="E799" i="2"/>
  <c r="E783" i="2"/>
  <c r="E767" i="2"/>
  <c r="E751" i="2"/>
  <c r="E735" i="2"/>
  <c r="E719" i="2"/>
  <c r="E703" i="2"/>
  <c r="E687" i="2"/>
  <c r="E671" i="2"/>
  <c r="E655" i="2"/>
  <c r="E639" i="2"/>
  <c r="E623" i="2"/>
  <c r="E607" i="2"/>
  <c r="E591" i="2"/>
  <c r="E575" i="2"/>
  <c r="E559" i="2"/>
  <c r="E543" i="2"/>
  <c r="E527" i="2"/>
  <c r="E511" i="2"/>
  <c r="E495" i="2"/>
  <c r="E479" i="2"/>
  <c r="E463" i="2"/>
  <c r="E447" i="2"/>
  <c r="E431" i="2"/>
  <c r="E415" i="2"/>
  <c r="E399" i="2"/>
  <c r="E383" i="2"/>
  <c r="E367" i="2"/>
  <c r="E351" i="2"/>
  <c r="E335" i="2"/>
  <c r="E319" i="2"/>
  <c r="E303" i="2"/>
  <c r="E287" i="2"/>
  <c r="E271" i="2"/>
  <c r="E255" i="2"/>
  <c r="E239" i="2"/>
  <c r="E223" i="2"/>
  <c r="E207" i="2"/>
  <c r="E191" i="2"/>
  <c r="E175" i="2"/>
  <c r="E159" i="2"/>
  <c r="E143" i="2"/>
  <c r="E127" i="2"/>
  <c r="E111" i="2"/>
  <c r="E95" i="2"/>
  <c r="E79" i="2"/>
  <c r="E63" i="2"/>
  <c r="E47" i="2"/>
  <c r="E31" i="2"/>
  <c r="B9" i="4"/>
  <c r="B11" i="4" s="1"/>
  <c r="E1278" i="2"/>
  <c r="E1262" i="2"/>
  <c r="E1246" i="2"/>
  <c r="E1230" i="2"/>
  <c r="E1214" i="2"/>
  <c r="E1198" i="2"/>
  <c r="E1182" i="2"/>
  <c r="E1166" i="2"/>
  <c r="E1150" i="2"/>
  <c r="E1134" i="2"/>
  <c r="E1118" i="2"/>
  <c r="E1102" i="2"/>
  <c r="E1086" i="2"/>
  <c r="E1070" i="2"/>
  <c r="E1054" i="2"/>
  <c r="E1038" i="2"/>
  <c r="E1022" i="2"/>
  <c r="E1006" i="2"/>
  <c r="E990" i="2"/>
  <c r="E974" i="2"/>
  <c r="E958" i="2"/>
  <c r="E942" i="2"/>
  <c r="E926" i="2"/>
  <c r="E910" i="2"/>
  <c r="E894" i="2"/>
  <c r="E878" i="2"/>
  <c r="E862" i="2"/>
  <c r="E846" i="2"/>
  <c r="E830" i="2"/>
  <c r="E814" i="2"/>
  <c r="E798" i="2"/>
  <c r="E782" i="2"/>
  <c r="E766" i="2"/>
  <c r="E750" i="2"/>
  <c r="E734" i="2"/>
  <c r="E718" i="2"/>
  <c r="E702" i="2"/>
  <c r="E686" i="2"/>
  <c r="E670" i="2"/>
  <c r="E654" i="2"/>
  <c r="E638" i="2"/>
  <c r="E622" i="2"/>
  <c r="E606" i="2"/>
  <c r="E590" i="2"/>
  <c r="E574" i="2"/>
  <c r="E558" i="2"/>
  <c r="E542" i="2"/>
  <c r="E526" i="2"/>
  <c r="E510" i="2"/>
  <c r="E494" i="2"/>
  <c r="E478" i="2"/>
  <c r="E462" i="2"/>
  <c r="E446" i="2"/>
  <c r="E430" i="2"/>
  <c r="E414" i="2"/>
  <c r="E398" i="2"/>
  <c r="E382" i="2"/>
  <c r="E366" i="2"/>
  <c r="E350" i="2"/>
  <c r="E334" i="2"/>
  <c r="E318" i="2"/>
  <c r="E302" i="2"/>
  <c r="E286" i="2"/>
  <c r="E270" i="2"/>
  <c r="E254" i="2"/>
  <c r="E238" i="2"/>
  <c r="E222" i="2"/>
  <c r="E206" i="2"/>
  <c r="E190" i="2"/>
  <c r="E174" i="2"/>
  <c r="E158" i="2"/>
  <c r="E142" i="2"/>
  <c r="E126" i="2"/>
  <c r="E110" i="2"/>
  <c r="E94" i="2"/>
  <c r="E78" i="2"/>
  <c r="E62" i="2"/>
  <c r="E46" i="2"/>
  <c r="E30" i="2"/>
  <c r="E14" i="2"/>
  <c r="E1293" i="2"/>
  <c r="E1276" i="2"/>
  <c r="E1260" i="2"/>
  <c r="E1244" i="2"/>
  <c r="E1228" i="2"/>
  <c r="E1212" i="2"/>
  <c r="E1196" i="2"/>
  <c r="E1180" i="2"/>
  <c r="E1164" i="2"/>
  <c r="E1148" i="2"/>
  <c r="E1132" i="2"/>
  <c r="E1116" i="2"/>
  <c r="E1100" i="2"/>
  <c r="E1084" i="2"/>
  <c r="E1068" i="2"/>
  <c r="E1052" i="2"/>
  <c r="E1036" i="2"/>
  <c r="E1020" i="2"/>
  <c r="E1004" i="2"/>
  <c r="E988" i="2"/>
  <c r="E972" i="2"/>
  <c r="E956" i="2"/>
  <c r="E940" i="2"/>
  <c r="E924" i="2"/>
  <c r="E908" i="2"/>
  <c r="E892" i="2"/>
  <c r="E876" i="2"/>
  <c r="E860" i="2"/>
  <c r="E844" i="2"/>
  <c r="E828" i="2"/>
  <c r="E812" i="2"/>
  <c r="E796" i="2"/>
  <c r="E780" i="2"/>
  <c r="E764" i="2"/>
  <c r="E748" i="2"/>
  <c r="E732" i="2"/>
  <c r="E716" i="2"/>
  <c r="E700" i="2"/>
  <c r="E684" i="2"/>
  <c r="E668" i="2"/>
  <c r="E652" i="2"/>
  <c r="E636" i="2"/>
  <c r="E620" i="2"/>
  <c r="E604" i="2"/>
  <c r="E588" i="2"/>
  <c r="E572" i="2"/>
  <c r="E556" i="2"/>
  <c r="E540" i="2"/>
  <c r="E524" i="2"/>
  <c r="E508" i="2"/>
  <c r="E492" i="2"/>
  <c r="E476" i="2"/>
  <c r="E460" i="2"/>
  <c r="E444" i="2"/>
  <c r="E428" i="2"/>
  <c r="E412" i="2"/>
  <c r="E396" i="2"/>
  <c r="E380" i="2"/>
  <c r="E364" i="2"/>
  <c r="E348" i="2"/>
  <c r="E332" i="2"/>
  <c r="E316" i="2"/>
  <c r="E300" i="2"/>
  <c r="E284" i="2"/>
  <c r="E268" i="2"/>
  <c r="E252" i="2"/>
  <c r="E236" i="2"/>
  <c r="E220" i="2"/>
  <c r="E204" i="2"/>
  <c r="E188" i="2"/>
  <c r="E172" i="2"/>
  <c r="E156" i="2"/>
  <c r="E140" i="2"/>
  <c r="E124" i="2"/>
  <c r="E108" i="2"/>
  <c r="E92" i="2"/>
  <c r="E76" i="2"/>
  <c r="E60" i="2"/>
  <c r="E44" i="2"/>
  <c r="E28" i="2"/>
  <c r="E12" i="2"/>
  <c r="E1291" i="2"/>
  <c r="E1274" i="2"/>
  <c r="E1258" i="2"/>
  <c r="E1242" i="2"/>
  <c r="E1226" i="2"/>
  <c r="E1210" i="2"/>
  <c r="E1194" i="2"/>
  <c r="E1178" i="2"/>
  <c r="E1162" i="2"/>
  <c r="E1146" i="2"/>
  <c r="E1130" i="2"/>
  <c r="E1114" i="2"/>
  <c r="E1098" i="2"/>
  <c r="E1082" i="2"/>
  <c r="E1066" i="2"/>
  <c r="E1050" i="2"/>
  <c r="E1034" i="2"/>
  <c r="E1018" i="2"/>
  <c r="E1002" i="2"/>
  <c r="E986" i="2"/>
  <c r="E970" i="2"/>
  <c r="E954" i="2"/>
  <c r="E938" i="2"/>
  <c r="E922" i="2"/>
  <c r="E906" i="2"/>
  <c r="E890" i="2"/>
  <c r="E874" i="2"/>
  <c r="E858" i="2"/>
  <c r="E842" i="2"/>
  <c r="E826" i="2"/>
  <c r="E810" i="2"/>
  <c r="E794" i="2"/>
  <c r="E778" i="2"/>
  <c r="E762" i="2"/>
  <c r="E746" i="2"/>
  <c r="E730" i="2"/>
  <c r="E714" i="2"/>
  <c r="E698" i="2"/>
  <c r="E682" i="2"/>
  <c r="E666" i="2"/>
  <c r="E650" i="2"/>
  <c r="E634" i="2"/>
  <c r="E618" i="2"/>
  <c r="E602" i="2"/>
  <c r="E586" i="2"/>
  <c r="E570" i="2"/>
  <c r="E554" i="2"/>
  <c r="E538" i="2"/>
  <c r="E522" i="2"/>
  <c r="E506" i="2"/>
  <c r="E490" i="2"/>
  <c r="E474" i="2"/>
  <c r="E458" i="2"/>
  <c r="E442" i="2"/>
  <c r="E426" i="2"/>
  <c r="E410" i="2"/>
  <c r="E394" i="2"/>
  <c r="E378" i="2"/>
  <c r="E362" i="2"/>
  <c r="E346" i="2"/>
  <c r="E330" i="2"/>
  <c r="E314" i="2"/>
  <c r="E298" i="2"/>
  <c r="E282" i="2"/>
  <c r="E266" i="2"/>
  <c r="E250" i="2"/>
  <c r="E234" i="2"/>
  <c r="E218" i="2"/>
  <c r="E202" i="2"/>
  <c r="E186" i="2"/>
  <c r="E170" i="2"/>
  <c r="E154" i="2"/>
  <c r="E138" i="2"/>
  <c r="E122" i="2"/>
  <c r="E106" i="2"/>
  <c r="E90" i="2"/>
  <c r="E74" i="2"/>
  <c r="E58" i="2"/>
  <c r="E42" i="2"/>
  <c r="E26" i="2"/>
  <c r="K6" i="4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F3" i="3" s="1"/>
  <c r="B8" i="4"/>
  <c r="B10" i="4" s="1"/>
  <c r="E1305" i="2"/>
  <c r="R9" i="4" l="1"/>
  <c r="E9" i="5"/>
  <c r="R11" i="4" s="1"/>
  <c r="D17" i="3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B4" i="4" s="1"/>
  <c r="B5" i="4" s="1"/>
  <c r="B6" i="4" s="1"/>
  <c r="E7" i="4" s="1"/>
  <c r="E8" i="4" s="1"/>
  <c r="E9" i="4" s="1"/>
  <c r="L6" i="4"/>
  <c r="K7" i="4"/>
  <c r="L7" i="4" l="1"/>
  <c r="K8" i="4"/>
  <c r="K9" i="4" l="1"/>
  <c r="L8" i="4"/>
  <c r="K10" i="4" l="1"/>
  <c r="L9" i="4"/>
  <c r="K11" i="4" l="1"/>
  <c r="L10" i="4"/>
  <c r="K12" i="4" l="1"/>
  <c r="L11" i="4"/>
  <c r="K13" i="4" l="1"/>
  <c r="L12" i="4"/>
  <c r="K14" i="4" l="1"/>
  <c r="L13" i="4"/>
  <c r="K15" i="4" l="1"/>
  <c r="L14" i="4"/>
  <c r="K16" i="4" l="1"/>
  <c r="L15" i="4"/>
  <c r="L16" i="4" l="1"/>
  <c r="K17" i="4"/>
  <c r="K18" i="4" l="1"/>
  <c r="L17" i="4"/>
  <c r="K19" i="4" l="1"/>
  <c r="L18" i="4"/>
  <c r="L19" i="4" l="1"/>
  <c r="K20" i="4"/>
  <c r="L20" i="4" l="1"/>
  <c r="K21" i="4"/>
  <c r="K22" i="4" l="1"/>
  <c r="L21" i="4"/>
  <c r="K23" i="4" l="1"/>
  <c r="L22" i="4"/>
  <c r="K24" i="4" l="1"/>
  <c r="L23" i="4"/>
  <c r="K25" i="4" l="1"/>
  <c r="L24" i="4"/>
  <c r="K26" i="4" l="1"/>
  <c r="L25" i="4"/>
  <c r="K27" i="4" l="1"/>
  <c r="L26" i="4"/>
  <c r="L27" i="4" l="1"/>
  <c r="K28" i="4"/>
  <c r="K29" i="4" l="1"/>
  <c r="L28" i="4"/>
  <c r="L29" i="4" l="1"/>
  <c r="K30" i="4"/>
  <c r="K31" i="4" l="1"/>
  <c r="L30" i="4"/>
  <c r="K32" i="4" l="1"/>
  <c r="L31" i="4"/>
  <c r="K33" i="4" l="1"/>
  <c r="L32" i="4"/>
  <c r="K34" i="4" l="1"/>
  <c r="L33" i="4"/>
  <c r="K35" i="4" l="1"/>
  <c r="L34" i="4"/>
  <c r="L35" i="4" l="1"/>
  <c r="K36" i="4"/>
  <c r="L36" i="4" l="1"/>
  <c r="K37" i="4"/>
  <c r="L37" i="4" l="1"/>
  <c r="K38" i="4"/>
  <c r="L38" i="4" l="1"/>
  <c r="K39" i="4"/>
  <c r="K40" i="4" l="1"/>
  <c r="L39" i="4"/>
  <c r="K41" i="4" l="1"/>
  <c r="L40" i="4"/>
  <c r="L41" i="4" l="1"/>
  <c r="K42" i="4"/>
  <c r="L42" i="4" l="1"/>
  <c r="K43" i="4"/>
  <c r="L43" i="4" l="1"/>
  <c r="K44" i="4"/>
  <c r="L44" i="4" l="1"/>
  <c r="K45" i="4"/>
  <c r="L45" i="4" l="1"/>
  <c r="K46" i="4"/>
  <c r="L46" i="4" l="1"/>
  <c r="K47" i="4"/>
  <c r="L47" i="4" l="1"/>
  <c r="K48" i="4"/>
  <c r="L48" i="4" l="1"/>
  <c r="K49" i="4"/>
  <c r="L49" i="4" l="1"/>
  <c r="K50" i="4"/>
  <c r="L50" i="4" l="1"/>
  <c r="K51" i="4"/>
  <c r="L51" i="4" l="1"/>
  <c r="K52" i="4"/>
  <c r="L52" i="4" l="1"/>
  <c r="K53" i="4"/>
  <c r="L53" i="4" l="1"/>
  <c r="K54" i="4"/>
  <c r="L5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AAACB0-847D-497E-81E5-2C0357782317}" keepAlive="1" name="Query - VOO_Raw" description="Connection to the 'VOO_Raw' query in the workbook." type="5" refreshedVersion="8" background="1" saveData="1">
    <dbPr connection="Provider=Microsoft.Mashup.OleDb.1;Data Source=$Workbook$;Location=VOO_Raw;Extended Properties=&quot;&quot;" command="SELECT * FROM [VOO_Raw]"/>
  </connection>
  <connection id="2" xr16:uid="{A883DF63-8676-47BA-95C7-D75AA91DAD99}" keepAlive="1" name="Query - VOO_Raw (2)" description="Connection to the 'VOO_Raw (2)' query in the workbook." type="5" refreshedVersion="8" background="1" saveData="1">
    <dbPr connection="Provider=Microsoft.Mashup.OleDb.1;Data Source=$Workbook$;Location=&quot;VOO_Raw (2)&quot;;Extended Properties=&quot;&quot;" command="SELECT * FROM [VOO_Raw (2)]"/>
  </connection>
</connections>
</file>

<file path=xl/sharedStrings.xml><?xml version="1.0" encoding="utf-8"?>
<sst xmlns="http://schemas.openxmlformats.org/spreadsheetml/2006/main" count="90" uniqueCount="56">
  <si>
    <t>observation_date</t>
  </si>
  <si>
    <t>SP500</t>
  </si>
  <si>
    <t>Daily_Return</t>
  </si>
  <si>
    <t>Month</t>
  </si>
  <si>
    <t>Column1</t>
  </si>
  <si>
    <t>Monthly_Return</t>
  </si>
  <si>
    <t>Investment_Value</t>
  </si>
  <si>
    <t>Investment Performance Summary</t>
  </si>
  <si>
    <t>Initial Investment</t>
  </si>
  <si>
    <t>Final Investment Value</t>
  </si>
  <si>
    <t>Total Profit</t>
  </si>
  <si>
    <t>Total Return (%)</t>
  </si>
  <si>
    <t>Best Monthly Return</t>
  </si>
  <si>
    <t>Worst Monthly Return</t>
  </si>
  <si>
    <t>Best Performing Month</t>
  </si>
  <si>
    <t>Worst Performing Month</t>
  </si>
  <si>
    <t>Investment Calculator</t>
  </si>
  <si>
    <t>Enter Investment Amount</t>
  </si>
  <si>
    <t>Dynamic_Investment_Value</t>
  </si>
  <si>
    <t>Future Investment Projection</t>
  </si>
  <si>
    <t>Expected Annual Return</t>
  </si>
  <si>
    <t>Investment Period (Years)</t>
  </si>
  <si>
    <t>Projected Future Value</t>
  </si>
  <si>
    <t>Projected Profit</t>
  </si>
  <si>
    <t>Year</t>
  </si>
  <si>
    <t>Projected Value</t>
  </si>
  <si>
    <t>Monthly Contribution Calculator</t>
  </si>
  <si>
    <t>Monthly Contribution</t>
  </si>
  <si>
    <t>Total Money Invested</t>
  </si>
  <si>
    <t>401(k) Retirement Calculator</t>
  </si>
  <si>
    <t>Current Retirement Balance</t>
  </si>
  <si>
    <t>Annual Salary</t>
  </si>
  <si>
    <t>Employee Contribution (%)</t>
  </si>
  <si>
    <t>Employer Match (% of Salary)</t>
  </si>
  <si>
    <t>Years Until Retirement</t>
  </si>
  <si>
    <t>Monthly Employee Contribution</t>
  </si>
  <si>
    <t>Monthly Employer Contribution</t>
  </si>
  <si>
    <t>Total Monthly Contribution</t>
  </si>
  <si>
    <t>Projected Retirement Balance</t>
  </si>
  <si>
    <t>Total Money Contributed</t>
  </si>
  <si>
    <t>Projected Investment Growth</t>
  </si>
  <si>
    <t>401(k) Retirement Summary</t>
  </si>
  <si>
    <t>Projected Balance</t>
  </si>
  <si>
    <t>Date</t>
  </si>
  <si>
    <t>Open</t>
  </si>
  <si>
    <t>High</t>
  </si>
  <si>
    <t>Low</t>
  </si>
  <si>
    <t>Close</t>
  </si>
  <si>
    <t>Volume</t>
  </si>
  <si>
    <t>Total Return</t>
  </si>
  <si>
    <t>VOO Total Return</t>
  </si>
  <si>
    <t>S&amp;P 500 Total Return</t>
  </si>
  <si>
    <t>Return Difference</t>
  </si>
  <si>
    <t>S&amp;P 500</t>
  </si>
  <si>
    <t>VOO vs. S&amp;P 500</t>
  </si>
  <si>
    <t>VOO data: Stooq. S&amp;P 500: index prices. Dividend adjustments may differ; returns are not directly comparable without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</si>
</sst>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9" fontId="0" fillId="0" borderId="0" xfId="2" applyFont="1"/>
    <xf numFmtId="10" fontId="0" fillId="0" borderId="0" xfId="2" applyNumberFormat="1" applyFont="1"/>
    <xf numFmtId="10" fontId="0" fillId="0" borderId="0" xfId="0" applyNumberFormat="1"/>
    <xf numFmtId="44" fontId="0" fillId="0" borderId="0" xfId="1" applyFont="1"/>
    <xf numFmtId="44" fontId="0" fillId="0" borderId="0" xfId="0" applyNumberFormat="1"/>
    <xf numFmtId="9" fontId="0" fillId="0" borderId="0" xfId="0" applyNumberFormat="1"/>
    <xf numFmtId="8" fontId="0" fillId="0" borderId="0" xfId="0" applyNumberFormat="1"/>
    <xf numFmtId="8" fontId="0" fillId="0" borderId="0" xfId="1" applyNumberFormat="1" applyFont="1"/>
    <xf numFmtId="164" fontId="0" fillId="0" borderId="0" xfId="0" applyNumberFormat="1"/>
    <xf numFmtId="164" fontId="0" fillId="33" borderId="0" xfId="0" applyNumberFormat="1" applyFill="1"/>
    <xf numFmtId="9" fontId="0" fillId="33" borderId="0" xfId="0" applyNumberFormat="1" applyFill="1"/>
    <xf numFmtId="9" fontId="0" fillId="33" borderId="0" xfId="2" applyFont="1" applyFill="1"/>
    <xf numFmtId="2" fontId="0" fillId="33" borderId="0" xfId="2" applyNumberFormat="1" applyFont="1" applyFill="1"/>
    <xf numFmtId="8" fontId="0" fillId="33" borderId="0" xfId="0" applyNumberFormat="1" applyFill="1"/>
    <xf numFmtId="0" fontId="0" fillId="0" borderId="0" xfId="0" applyAlignment="1">
      <alignment vertical="top"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1">
    <dxf>
      <numFmt numFmtId="19" formatCode="m/d/yyyy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14" formatCode="0.00%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4" formatCode="0.00%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S&amp;P 500 Investment Growth (2021–2026)</a:t>
            </a:r>
            <a:endParaRPr lang="en-US"/>
          </a:p>
        </c:rich>
      </c:tx>
      <c:layout>
        <c:manualLayout>
          <c:xMode val="edge"/>
          <c:yMode val="edge"/>
          <c:x val="0.1647500000000000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SP500_Monthly!$A$2:$A$60</c:f>
              <c:numCache>
                <c:formatCode>m/d/yyyy</c:formatCode>
                <c:ptCount val="59"/>
                <c:pt idx="0">
                  <c:v>44498</c:v>
                </c:pt>
                <c:pt idx="1">
                  <c:v>44530</c:v>
                </c:pt>
                <c:pt idx="2">
                  <c:v>44561</c:v>
                </c:pt>
                <c:pt idx="3">
                  <c:v>44592</c:v>
                </c:pt>
                <c:pt idx="4">
                  <c:v>44620</c:v>
                </c:pt>
                <c:pt idx="5">
                  <c:v>44651</c:v>
                </c:pt>
                <c:pt idx="6">
                  <c:v>44680</c:v>
                </c:pt>
                <c:pt idx="7">
                  <c:v>44712</c:v>
                </c:pt>
                <c:pt idx="8">
                  <c:v>44742</c:v>
                </c:pt>
                <c:pt idx="9">
                  <c:v>44771</c:v>
                </c:pt>
                <c:pt idx="10">
                  <c:v>44804</c:v>
                </c:pt>
                <c:pt idx="11">
                  <c:v>44834</c:v>
                </c:pt>
                <c:pt idx="12">
                  <c:v>44865</c:v>
                </c:pt>
                <c:pt idx="13">
                  <c:v>44895</c:v>
                </c:pt>
                <c:pt idx="14">
                  <c:v>44925</c:v>
                </c:pt>
                <c:pt idx="15">
                  <c:v>44957</c:v>
                </c:pt>
                <c:pt idx="16">
                  <c:v>44985</c:v>
                </c:pt>
                <c:pt idx="17">
                  <c:v>45016</c:v>
                </c:pt>
                <c:pt idx="18">
                  <c:v>45044</c:v>
                </c:pt>
                <c:pt idx="19">
                  <c:v>45077</c:v>
                </c:pt>
                <c:pt idx="20">
                  <c:v>45107</c:v>
                </c:pt>
                <c:pt idx="21">
                  <c:v>45138</c:v>
                </c:pt>
                <c:pt idx="22">
                  <c:v>45169</c:v>
                </c:pt>
                <c:pt idx="23">
                  <c:v>45198</c:v>
                </c:pt>
                <c:pt idx="24">
                  <c:v>45230</c:v>
                </c:pt>
                <c:pt idx="25">
                  <c:v>45260</c:v>
                </c:pt>
                <c:pt idx="26">
                  <c:v>45289</c:v>
                </c:pt>
                <c:pt idx="27">
                  <c:v>45322</c:v>
                </c:pt>
                <c:pt idx="28">
                  <c:v>45351</c:v>
                </c:pt>
                <c:pt idx="29">
                  <c:v>45412</c:v>
                </c:pt>
                <c:pt idx="30">
                  <c:v>45443</c:v>
                </c:pt>
                <c:pt idx="31">
                  <c:v>45471</c:v>
                </c:pt>
                <c:pt idx="32">
                  <c:v>45504</c:v>
                </c:pt>
                <c:pt idx="33">
                  <c:v>45534</c:v>
                </c:pt>
                <c:pt idx="34">
                  <c:v>45565</c:v>
                </c:pt>
                <c:pt idx="35">
                  <c:v>45596</c:v>
                </c:pt>
                <c:pt idx="36">
                  <c:v>45625</c:v>
                </c:pt>
                <c:pt idx="37">
                  <c:v>45657</c:v>
                </c:pt>
                <c:pt idx="38">
                  <c:v>45688</c:v>
                </c:pt>
                <c:pt idx="39">
                  <c:v>45716</c:v>
                </c:pt>
                <c:pt idx="40">
                  <c:v>45747</c:v>
                </c:pt>
                <c:pt idx="41">
                  <c:v>45777</c:v>
                </c:pt>
                <c:pt idx="42">
                  <c:v>45807</c:v>
                </c:pt>
                <c:pt idx="43">
                  <c:v>45838</c:v>
                </c:pt>
                <c:pt idx="44">
                  <c:v>45869</c:v>
                </c:pt>
                <c:pt idx="45">
                  <c:v>45898</c:v>
                </c:pt>
                <c:pt idx="46">
                  <c:v>45930</c:v>
                </c:pt>
                <c:pt idx="47">
                  <c:v>45961</c:v>
                </c:pt>
                <c:pt idx="48">
                  <c:v>45989</c:v>
                </c:pt>
                <c:pt idx="49">
                  <c:v>46022</c:v>
                </c:pt>
                <c:pt idx="50">
                  <c:v>46052</c:v>
                </c:pt>
                <c:pt idx="51">
                  <c:v>46080</c:v>
                </c:pt>
                <c:pt idx="52">
                  <c:v>46112</c:v>
                </c:pt>
                <c:pt idx="53">
                  <c:v>46142</c:v>
                </c:pt>
                <c:pt idx="54">
                  <c:v>46171</c:v>
                </c:pt>
                <c:pt idx="55">
                  <c:v>46203</c:v>
                </c:pt>
                <c:pt idx="56">
                  <c:v>46234</c:v>
                </c:pt>
                <c:pt idx="57">
                  <c:v>46265</c:v>
                </c:pt>
                <c:pt idx="58">
                  <c:v>46295</c:v>
                </c:pt>
              </c:numCache>
            </c:numRef>
          </c:cat>
          <c:val>
            <c:numRef>
              <c:f>SP500_Monthly!$E$2:$E$60</c:f>
              <c:numCache>
                <c:formatCode>_("$"* #,##0.00_);_("$"* \(#,##0.00\);_("$"* "-"??_);_(@_)</c:formatCode>
                <c:ptCount val="59"/>
                <c:pt idx="0">
                  <c:v>200</c:v>
                </c:pt>
                <c:pt idx="1">
                  <c:v>198.33325371630571</c:v>
                </c:pt>
                <c:pt idx="2">
                  <c:v>206.98313711354982</c:v>
                </c:pt>
                <c:pt idx="3">
                  <c:v>196.09891040478743</c:v>
                </c:pt>
                <c:pt idx="4">
                  <c:v>189.94914643308476</c:v>
                </c:pt>
                <c:pt idx="5">
                  <c:v>196.74424260321624</c:v>
                </c:pt>
                <c:pt idx="6">
                  <c:v>179.43926451237468</c:v>
                </c:pt>
                <c:pt idx="7">
                  <c:v>179.4488185556892</c:v>
                </c:pt>
                <c:pt idx="8">
                  <c:v>164.38947491846491</c:v>
                </c:pt>
                <c:pt idx="9">
                  <c:v>179.36804346221157</c:v>
                </c:pt>
                <c:pt idx="10">
                  <c:v>171.75564231398928</c:v>
                </c:pt>
                <c:pt idx="11">
                  <c:v>155.71440358884607</c:v>
                </c:pt>
                <c:pt idx="12">
                  <c:v>168.15029378683192</c:v>
                </c:pt>
                <c:pt idx="13">
                  <c:v>177.18885303710007</c:v>
                </c:pt>
                <c:pt idx="14">
                  <c:v>166.73976957384625</c:v>
                </c:pt>
                <c:pt idx="15">
                  <c:v>177.03642261876325</c:v>
                </c:pt>
                <c:pt idx="16">
                  <c:v>172.41356847860544</c:v>
                </c:pt>
                <c:pt idx="17">
                  <c:v>178.45693514975963</c:v>
                </c:pt>
                <c:pt idx="18">
                  <c:v>181.06996599629127</c:v>
                </c:pt>
                <c:pt idx="19">
                  <c:v>181.51944030677163</c:v>
                </c:pt>
                <c:pt idx="20">
                  <c:v>193.26874221019764</c:v>
                </c:pt>
                <c:pt idx="21">
                  <c:v>199.28692094897707</c:v>
                </c:pt>
                <c:pt idx="22">
                  <c:v>195.7562676695517</c:v>
                </c:pt>
                <c:pt idx="23">
                  <c:v>186.21916106814206</c:v>
                </c:pt>
                <c:pt idx="24">
                  <c:v>182.12612205724611</c:v>
                </c:pt>
                <c:pt idx="25">
                  <c:v>198.36799569199502</c:v>
                </c:pt>
                <c:pt idx="26">
                  <c:v>207.14164737763224</c:v>
                </c:pt>
                <c:pt idx="27">
                  <c:v>210.43431812358588</c:v>
                </c:pt>
                <c:pt idx="28">
                  <c:v>221.31811055765215</c:v>
                </c:pt>
                <c:pt idx="29">
                  <c:v>218.68727444857967</c:v>
                </c:pt>
                <c:pt idx="30">
                  <c:v>229.18890515006359</c:v>
                </c:pt>
                <c:pt idx="31">
                  <c:v>237.1348292649032</c:v>
                </c:pt>
                <c:pt idx="32">
                  <c:v>239.8195154362941</c:v>
                </c:pt>
                <c:pt idx="33">
                  <c:v>245.29571935432037</c:v>
                </c:pt>
                <c:pt idx="34">
                  <c:v>250.24992508761491</c:v>
                </c:pt>
                <c:pt idx="35">
                  <c:v>247.77325649566376</c:v>
                </c:pt>
                <c:pt idx="36">
                  <c:v>261.97099913579336</c:v>
                </c:pt>
                <c:pt idx="37">
                  <c:v>255.4243080918404</c:v>
                </c:pt>
                <c:pt idx="38">
                  <c:v>262.32493301312809</c:v>
                </c:pt>
                <c:pt idx="39">
                  <c:v>258.58886780243978</c:v>
                </c:pt>
                <c:pt idx="40">
                  <c:v>243.7084453400154</c:v>
                </c:pt>
                <c:pt idx="41">
                  <c:v>241.85018391533384</c:v>
                </c:pt>
                <c:pt idx="42">
                  <c:v>256.72973782836596</c:v>
                </c:pt>
                <c:pt idx="43">
                  <c:v>269.465277566672</c:v>
                </c:pt>
                <c:pt idx="44">
                  <c:v>275.30366658125934</c:v>
                </c:pt>
                <c:pt idx="45">
                  <c:v>280.55274483321682</c:v>
                </c:pt>
                <c:pt idx="46">
                  <c:v>290.46289339859032</c:v>
                </c:pt>
                <c:pt idx="47">
                  <c:v>297.0525776374588</c:v>
                </c:pt>
                <c:pt idx="48">
                  <c:v>297.43864784230618</c:v>
                </c:pt>
                <c:pt idx="49">
                  <c:v>297.28274322640044</c:v>
                </c:pt>
                <c:pt idx="50">
                  <c:v>301.34451445917597</c:v>
                </c:pt>
                <c:pt idx="51">
                  <c:v>298.73235216203653</c:v>
                </c:pt>
                <c:pt idx="52">
                  <c:v>283.51710390890656</c:v>
                </c:pt>
                <c:pt idx="53">
                  <c:v>313.0690627049234</c:v>
                </c:pt>
                <c:pt idx="54">
                  <c:v>329.18282530431799</c:v>
                </c:pt>
                <c:pt idx="55">
                  <c:v>325.67822850665959</c:v>
                </c:pt>
                <c:pt idx="56">
                  <c:v>325.25958769960351</c:v>
                </c:pt>
                <c:pt idx="57">
                  <c:v>333.78961128071955</c:v>
                </c:pt>
                <c:pt idx="58">
                  <c:v>332.28702083215717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7-4D4F-BB96-A6AA5164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617167"/>
        <c:axId val="1072369519"/>
      </c:lineChart>
      <c:dateAx>
        <c:axId val="17406171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69519"/>
        <c:crosses val="autoZero"/>
        <c:auto val="1"/>
        <c:lblOffset val="100"/>
        <c:baseTimeUnit val="months"/>
      </c:dateAx>
      <c:valAx>
        <c:axId val="10723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1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Future Investment Growth Projection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Performance_Summary!$L$3</c:f>
              <c:strCache>
                <c:ptCount val="1"/>
                <c:pt idx="0">
                  <c:v>Projected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Performance_Summary!$K$4:$K$24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Performance_Summary!$L$4:$L$34</c:f>
              <c:numCache>
                <c:formatCode>_("$"* #,##0.00_);_("$"* \(#,##0.00\);_("$"* "-"??_);_(@_)</c:formatCode>
                <c:ptCount val="31"/>
                <c:pt idx="0">
                  <c:v>200</c:v>
                </c:pt>
                <c:pt idx="1">
                  <c:v>214</c:v>
                </c:pt>
                <c:pt idx="2">
                  <c:v>228.98000000000002</c:v>
                </c:pt>
                <c:pt idx="3">
                  <c:v>245.00860000000003</c:v>
                </c:pt>
                <c:pt idx="4">
                  <c:v>262.15920199999999</c:v>
                </c:pt>
                <c:pt idx="5">
                  <c:v>280.51034614000002</c:v>
                </c:pt>
                <c:pt idx="6">
                  <c:v>300.14607036979999</c:v>
                </c:pt>
                <c:pt idx="7">
                  <c:v>321.15629529568605</c:v>
                </c:pt>
                <c:pt idx="8">
                  <c:v>343.63723596638403</c:v>
                </c:pt>
                <c:pt idx="9">
                  <c:v>367.69184248403099</c:v>
                </c:pt>
                <c:pt idx="10">
                  <c:v>393.43027145791314</c:v>
                </c:pt>
                <c:pt idx="11">
                  <c:v>420.97039045996712</c:v>
                </c:pt>
                <c:pt idx="12">
                  <c:v>450.4383177921647</c:v>
                </c:pt>
                <c:pt idx="13">
                  <c:v>481.9690000376163</c:v>
                </c:pt>
                <c:pt idx="14">
                  <c:v>515.70683004024943</c:v>
                </c:pt>
                <c:pt idx="15">
                  <c:v>551.80630814306687</c:v>
                </c:pt>
                <c:pt idx="16">
                  <c:v>590.43274971308153</c:v>
                </c:pt>
                <c:pt idx="17">
                  <c:v>631.7630421929972</c:v>
                </c:pt>
                <c:pt idx="18">
                  <c:v>675.98645514650707</c:v>
                </c:pt>
                <c:pt idx="19">
                  <c:v>723.30550700676258</c:v>
                </c:pt>
                <c:pt idx="20">
                  <c:v>773.93689249723593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09-4347-959D-41C19DFC2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224111"/>
        <c:axId val="1072213039"/>
      </c:scatterChart>
      <c:valAx>
        <c:axId val="173422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213039"/>
        <c:crosses val="autoZero"/>
        <c:crossBetween val="midCat"/>
      </c:valAx>
      <c:valAx>
        <c:axId val="107221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2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401(k) Retirement Growth Projection</a:t>
            </a:r>
            <a:endParaRPr lang="en-US"/>
          </a:p>
        </c:rich>
      </c:tx>
      <c:layout>
        <c:manualLayout>
          <c:xMode val="edge"/>
          <c:yMode val="edge"/>
          <c:x val="0.209694444444444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401(k) Retirement Balance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'401K_Calculator'!$G$4:$G$24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'401K_Calculator'!$H$4:$H$24</c:f>
              <c:numCache>
                <c:formatCode>_("$"* #,##0.00_);_("$"* \(#,##0.00\);_("$"* "-"??_);_(@_)</c:formatCode>
                <c:ptCount val="21"/>
                <c:pt idx="0">
                  <c:v>1000</c:v>
                </c:pt>
                <c:pt idx="1">
                  <c:v>8507.8412546404979</c:v>
                </c:pt>
                <c:pt idx="2">
                  <c:v>16558.424960634751</c:v>
                </c:pt>
                <c:pt idx="3">
                  <c:v>25190.986013675218</c:v>
                </c:pt>
                <c:pt idx="4">
                  <c:v>34447.595603236361</c:v>
                </c:pt>
                <c:pt idx="5">
                  <c:v>44373.366248481507</c:v>
                </c:pt>
                <c:pt idx="6">
                  <c:v>55016.671656231869</c:v>
                </c:pt>
                <c:pt idx="7">
                  <c:v>66429.382472486119</c:v>
                </c:pt>
                <c:pt idx="8">
                  <c:v>78667.119076436196</c:v>
                </c:pt>
                <c:pt idx="9">
                  <c:v>91789.522648983184</c:v>
                </c:pt>
                <c:pt idx="10">
                  <c:v>105860.54583681772</c:v>
                </c:pt>
                <c:pt idx="11">
                  <c:v>120948.76442863084</c:v>
                </c:pt>
                <c:pt idx="12">
                  <c:v>137127.71156242263</c:v>
                </c:pt>
                <c:pt idx="13">
                  <c:v>154476.23609268505</c:v>
                </c:pt>
                <c:pt idx="14">
                  <c:v>173078.88686397651</c:v>
                </c:pt>
                <c:pt idx="15">
                  <c:v>193026.32476366492</c:v>
                </c:pt>
                <c:pt idx="16">
                  <c:v>214415.76456199656</c:v>
                </c:pt>
                <c:pt idx="17">
                  <c:v>237351.44869281916</c:v>
                </c:pt>
                <c:pt idx="18">
                  <c:v>261945.15528395207</c:v>
                </c:pt>
                <c:pt idx="19">
                  <c:v>288316.74291311251</c:v>
                </c:pt>
                <c:pt idx="20">
                  <c:v>316594.73474429228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B-4DA6-88BF-DF6D92408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110656"/>
        <c:axId val="1757115936"/>
      </c:scatterChart>
      <c:valAx>
        <c:axId val="175711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115936"/>
        <c:crosses val="autoZero"/>
        <c:crossBetween val="midCat"/>
      </c:valAx>
      <c:valAx>
        <c:axId val="17571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11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VOO vs. S&amp;P 500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Performance_Summary!$T$3:$T$4</c:f>
              <c:strCache>
                <c:ptCount val="2"/>
                <c:pt idx="0">
                  <c:v>VOO Total Return</c:v>
                </c:pt>
                <c:pt idx="1">
                  <c:v>S&amp;P 500 Total Return</c:v>
                </c:pt>
              </c:strCache>
            </c:strRef>
          </c:cat>
          <c:val>
            <c:numRef>
              <c:f>Performance_Summary!$U$3:$U$4</c:f>
              <c:numCache>
                <c:formatCode>0.00%</c:formatCode>
                <c:ptCount val="2"/>
                <c:pt idx="0">
                  <c:v>0.74405757286192076</c:v>
                </c:pt>
                <c:pt idx="1">
                  <c:v>0.66143510416078488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3-4670-A48E-73524908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629823"/>
        <c:axId val="1115629343"/>
      </c:barChart>
      <c:catAx>
        <c:axId val="111562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29343"/>
        <c:crosses val="autoZero"/>
        <c:auto val="1"/>
        <c:lblAlgn val="ctr"/>
        <c:lblOffset val="100"/>
        <c:noMultiLvlLbl val="0"/>
      </c:catAx>
      <c:valAx>
        <c:axId val="11156293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2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401(k) Retirement Growth Projection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'401K_Calculator'!$H$3</c:f>
              <c:strCache>
                <c:ptCount val="1"/>
                <c:pt idx="0">
                  <c:v> Projected Balance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'401K_Calculator'!$G$4:$G$24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'401K_Calculator'!$H$4:$H$24</c:f>
              <c:numCache>
                <c:formatCode>_("$"* #,##0.00_);_("$"* \(#,##0.00\);_("$"* "-"??_);_(@_)</c:formatCode>
                <c:ptCount val="21"/>
                <c:pt idx="0">
                  <c:v>1000</c:v>
                </c:pt>
                <c:pt idx="1">
                  <c:v>8507.8412546404979</c:v>
                </c:pt>
                <c:pt idx="2">
                  <c:v>16558.424960634751</c:v>
                </c:pt>
                <c:pt idx="3">
                  <c:v>25190.986013675218</c:v>
                </c:pt>
                <c:pt idx="4">
                  <c:v>34447.595603236361</c:v>
                </c:pt>
                <c:pt idx="5">
                  <c:v>44373.366248481507</c:v>
                </c:pt>
                <c:pt idx="6">
                  <c:v>55016.671656231869</c:v>
                </c:pt>
                <c:pt idx="7">
                  <c:v>66429.382472486119</c:v>
                </c:pt>
                <c:pt idx="8">
                  <c:v>78667.119076436196</c:v>
                </c:pt>
                <c:pt idx="9">
                  <c:v>91789.522648983184</c:v>
                </c:pt>
                <c:pt idx="10">
                  <c:v>105860.54583681772</c:v>
                </c:pt>
                <c:pt idx="11">
                  <c:v>120948.76442863084</c:v>
                </c:pt>
                <c:pt idx="12">
                  <c:v>137127.71156242263</c:v>
                </c:pt>
                <c:pt idx="13">
                  <c:v>154476.23609268505</c:v>
                </c:pt>
                <c:pt idx="14">
                  <c:v>173078.88686397651</c:v>
                </c:pt>
                <c:pt idx="15">
                  <c:v>193026.32476366492</c:v>
                </c:pt>
                <c:pt idx="16">
                  <c:v>214415.76456199656</c:v>
                </c:pt>
                <c:pt idx="17">
                  <c:v>237351.44869281916</c:v>
                </c:pt>
                <c:pt idx="18">
                  <c:v>261945.15528395207</c:v>
                </c:pt>
                <c:pt idx="19">
                  <c:v>288316.74291311251</c:v>
                </c:pt>
                <c:pt idx="20">
                  <c:v>316594.73474429228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3-4369-AD5F-46001123F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663311"/>
        <c:axId val="715668591"/>
      </c:lineChart>
      <c:catAx>
        <c:axId val="7156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68591"/>
        <c:crosses val="autoZero"/>
        <c:auto val="1"/>
        <c:lblAlgn val="ctr"/>
        <c:lblOffset val="100"/>
        <c:noMultiLvlLbl val="0"/>
      </c:catAx>
      <c:valAx>
        <c:axId val="7156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8</xdr:col>
      <xdr:colOff>495300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A0752-BBFD-467E-A42B-41BA24F46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176212</xdr:colOff>
      <xdr:row>25</xdr:row>
      <xdr:rowOff>80962</xdr:rowOff>
    </xdr:from>
    <xdr:to>
      <xdr:col>10</xdr:col>
      <xdr:colOff>442912</xdr:colOff>
      <xdr:row>39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0065D6-6199-B3BF-ED08-DF0C265BA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1038225</xdr:colOff>
      <xdr:row>13</xdr:row>
      <xdr:rowOff>180975</xdr:rowOff>
    </xdr:from>
    <xdr:to>
      <xdr:col>17</xdr:col>
      <xdr:colOff>304800</xdr:colOff>
      <xdr:row>28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6236AF-0D90-4122-92FE-000280226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371475</xdr:colOff>
      <xdr:row>7</xdr:row>
      <xdr:rowOff>109537</xdr:rowOff>
    </xdr:from>
    <xdr:to>
      <xdr:col>24</xdr:col>
      <xdr:colOff>409575</xdr:colOff>
      <xdr:row>21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04943F-3355-1391-A070-11168121E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2</xdr:row>
      <xdr:rowOff>14287</xdr:rowOff>
    </xdr:from>
    <xdr:to>
      <xdr:col>16</xdr:col>
      <xdr:colOff>104775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06973-CA31-876C-CE6E-8E667418B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2172EC-2DFA-4B50-9B7F-734F24C8F21B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53D4DD-EA46-4424-87CC-B44DED486D1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BD6B66-6081-411B-90C6-E73513135DAF}" name="tbl_SP500_Clean" displayName="tbl_SP500_Clean" ref="A1:E1306" totalsRowShown="0">
  <autoFilter ref="A1:E1306" xr:uid="{FA6ACAAB-FD08-49DD-8EE9-0FCF3C5DB467}">
    <filterColumn colId="1">
      <customFilters>
        <customFilter operator="notEqual" val=" "/>
      </customFilters>
    </filterColumn>
    <filterColumn colId="4">
      <filters>
        <filter val="Yes"/>
      </filters>
    </filterColumn>
  </autoFilter>
  <tableColumns count="5">
    <tableColumn id="1" xr3:uid="{A819A0DC-98D3-4D22-AA92-4FAA1DAB7696}" name="observation_date" dataDxfId="8"/>
    <tableColumn id="2" xr3:uid="{A7F2DA80-503C-4592-8936-E5125554DAFC}" name="SP500"/>
    <tableColumn id="3" xr3:uid="{3790DDDC-109C-40CE-BEBC-71122C581FE5}" name="Daily_Return" dataDxfId="7">
      <calculatedColumnFormula>(B2-B1)/B1</calculatedColumnFormula>
    </tableColumn>
    <tableColumn id="4" xr3:uid="{BC65A485-5450-4F72-AD91-A106E23CB704}" name="Month" dataDxfId="6">
      <calculatedColumnFormula>MONTH(tbl_SP500_Clean[[#This Row],[observation_date]])</calculatedColumnFormula>
    </tableColumn>
    <tableColumn id="5" xr3:uid="{6F4DDF0E-E343-4780-B175-44B18DE30336}" name="Column1" dataDxfId="5">
      <calculatedColumnFormula>IF(D2&lt;&gt;D3,"Yes","No")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D29A0E-76F7-457A-940B-5E8E1D2CFF65}" name="tbl_SP500_Monthly" displayName="tbl_SP500_Monthly" ref="A1:E60" totalsRowShown="0">
  <autoFilter ref="A1:E60" xr:uid="{A5D29A0E-76F7-457A-940B-5E8E1D2CFF65}"/>
  <tableColumns count="5">
    <tableColumn id="1" xr3:uid="{411EB14A-77DF-43C4-90D3-087DE8CBD4BC}" name="observation_date" dataDxfId="4"/>
    <tableColumn id="2" xr3:uid="{41821D53-FAC1-49D4-81A2-F808B1A8D3A8}" name="SP500"/>
    <tableColumn id="3" xr3:uid="{2C711AB9-212B-43E6-86C5-72D014DE7522}" name="Monthly_Return" dataDxfId="3" dataCellStyle="Percent">
      <calculatedColumnFormula>(B2-B1)/B1</calculatedColumnFormula>
    </tableColumn>
    <tableColumn id="4" xr3:uid="{E4203781-29FA-47F0-BEB2-322E053D4E13}" name="Investment_Value" dataCellStyle="Currency"/>
    <tableColumn id="5" xr3:uid="{AA1934A5-C278-47F0-8DA1-4DA6835E6193}" name="Dynamic_Investment_Value" dataDxfId="2">
      <calculatedColumnFormula>Performance_Summary!$E$5*(B2/$B$2)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22C4DB-4DA4-41D6-B473-4E847E83DB0F}" name="VOO_Raw6" displayName="VOO_Raw6" ref="A1:G61" tableType="queryTable" totalsRowShown="0">
  <autoFilter ref="A1:G61" xr:uid="{CF8EB8E4-3D26-4A29-BEBA-93E7AF6C3868}"/>
  <tableColumns count="7">
    <tableColumn id="1" xr3:uid="{81675474-8E77-4750-8884-7030459BF9B0}" uniqueName="1" name="Date" queryTableFieldId="1" dataDxfId="10"/>
    <tableColumn id="2" xr3:uid="{815E0D2B-A89A-461E-9177-7AED36B59FE6}" uniqueName="2" name="Open" queryTableFieldId="2"/>
    <tableColumn id="3" xr3:uid="{C92E8F6D-45FF-4307-8B8F-F6E1209C3E9B}" uniqueName="3" name="High" queryTableFieldId="3"/>
    <tableColumn id="4" xr3:uid="{E5D1F25F-1BF1-4EF8-A81F-E6A255E153D5}" uniqueName="4" name="Low" queryTableFieldId="4"/>
    <tableColumn id="5" xr3:uid="{50881976-E11F-40D3-BF5A-EA4BC98C8A1C}" uniqueName="5" name="Close" queryTableFieldId="5"/>
    <tableColumn id="6" xr3:uid="{8747B1A3-D160-4F83-8BB1-E1BAC3E1CC28}" uniqueName="6" name="Volume" queryTableFieldId="6"/>
    <tableColumn id="7" xr3:uid="{A8CC2119-0789-436D-AE3A-5C239BC2737B}" uniqueName="7" name="Monthly_Return" queryTableFieldId="7" dataDxfId="9" dataCellStyle="Percent">
      <calculatedColumnFormula>E2/E1-1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EB8E4-3D26-4A29-BEBA-93E7AF6C3868}" name="VOO_Raw" displayName="VOO_Raw" ref="A1:F61" tableType="queryTable" totalsRowShown="0">
  <autoFilter ref="A1:F61" xr:uid="{CF8EB8E4-3D26-4A29-BEBA-93E7AF6C3868}"/>
  <tableColumns count="6">
    <tableColumn id="1" xr3:uid="{AD7ED2FC-0077-43D2-8E07-D0F20C169FC3}" uniqueName="1" name="Date" queryTableFieldId="1" dataDxfId="1"/>
    <tableColumn id="2" xr3:uid="{1B692CE7-CB1F-472B-A03D-51A319EFE6E2}" uniqueName="2" name="Open" queryTableFieldId="2"/>
    <tableColumn id="3" xr3:uid="{54CC2BAF-5F76-46D2-A2DA-CA3AE14913A8}" uniqueName="3" name="High" queryTableFieldId="3"/>
    <tableColumn id="4" xr3:uid="{AF85D806-B7E4-420B-A5CB-6E8F6DD7B3E1}" uniqueName="4" name="Low" queryTableFieldId="4"/>
    <tableColumn id="5" xr3:uid="{EF2ECA73-C48A-4C30-B1DE-F3E72DFEFB1B}" uniqueName="5" name="Close" queryTableFieldId="5"/>
    <tableColumn id="6" xr3:uid="{DCFE6DED-7385-4BA0-B264-8285C0560EE8}" uniqueName="6" name="Volum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6ACAAB-FD08-49DD-8EE9-0FCF3C5DB467}" name="tbl_SP500_Raw" displayName="tbl_SP500_Raw" ref="A1:B1306" totalsRowShown="0">
  <autoFilter ref="A1:B1306" xr:uid="{FA6ACAAB-FD08-49DD-8EE9-0FCF3C5DB467}"/>
  <tableColumns count="2">
    <tableColumn id="1" xr3:uid="{EF99543E-EE4D-4D28-B932-318BB9DEE560}" name="observation_date" dataDxfId="0"/>
    <tableColumn id="2" xr3:uid="{81D69008-200E-4D74-8CAD-5C949B899B65}" name="SP5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6DE3-0CF8-43EC-A942-AEB2C8FB5F50}">
  <dimension ref="A1:F1306"/>
  <sheetViews>
    <sheetView topLeftCell="A127" workbookViewId="0">
      <selection activeCell="C170" sqref="C170"/>
    </sheetView>
  </sheetViews>
  <sheetFormatPr defaultRowHeight="15" x14ac:dyDescent="0.25"/>
  <cols>
    <col min="1" max="1" width="18.7109375" customWidth="1"/>
    <col min="2" max="2" width="8.5703125" bestFit="1" customWidth="1"/>
    <col min="3" max="3" width="14.85546875" style="3" bestFit="1" customWidth="1"/>
    <col min="5" max="5" width="11.42578125" bestFit="1" customWidth="1"/>
    <col min="6" max="6" width="14.7109375" bestFit="1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hidden="1" x14ac:dyDescent="0.25">
      <c r="A2" s="1">
        <v>44476</v>
      </c>
      <c r="B2">
        <v>4399.76</v>
      </c>
      <c r="D2">
        <f>MONTH(tbl_SP500_Clean[[#This Row],[observation_date]])</f>
        <v>10</v>
      </c>
      <c r="E2" t="str">
        <f t="shared" ref="E2:E65" si="0">IF(D2&lt;&gt;D3,"Yes","No")</f>
        <v>No</v>
      </c>
    </row>
    <row r="3" spans="1:6" hidden="1" x14ac:dyDescent="0.25">
      <c r="A3" s="1">
        <v>44477</v>
      </c>
      <c r="B3">
        <v>4391.34</v>
      </c>
      <c r="C3" s="3">
        <f>(B3-B2)/B2</f>
        <v>-1.9137407494954435E-3</v>
      </c>
      <c r="D3">
        <f>MONTH(tbl_SP500_Clean[[#This Row],[observation_date]])</f>
        <v>10</v>
      </c>
      <c r="E3" t="str">
        <f t="shared" si="0"/>
        <v>No</v>
      </c>
    </row>
    <row r="4" spans="1:6" hidden="1" x14ac:dyDescent="0.25">
      <c r="A4" s="1">
        <v>44480</v>
      </c>
      <c r="B4">
        <v>4361.1899999999996</v>
      </c>
      <c r="C4" s="3">
        <f>(B4-B3)/B3</f>
        <v>-6.8657858421348706E-3</v>
      </c>
      <c r="D4">
        <f>MONTH(tbl_SP500_Clean[[#This Row],[observation_date]])</f>
        <v>10</v>
      </c>
      <c r="E4" t="str">
        <f t="shared" si="0"/>
        <v>No</v>
      </c>
      <c r="F4">
        <f>COUNTBLANK(tbl_SP500_Clean[SP500])</f>
        <v>50</v>
      </c>
    </row>
    <row r="5" spans="1:6" hidden="1" x14ac:dyDescent="0.25">
      <c r="A5" s="1">
        <v>44481</v>
      </c>
      <c r="B5">
        <v>4350.6499999999996</v>
      </c>
      <c r="C5" s="3">
        <f t="shared" ref="C5:C65" si="1">(B5-B4)/B4</f>
        <v>-2.4167715692276566E-3</v>
      </c>
      <c r="D5">
        <f>MONTH(tbl_SP500_Clean[[#This Row],[observation_date]])</f>
        <v>10</v>
      </c>
      <c r="E5" t="str">
        <f t="shared" si="0"/>
        <v>No</v>
      </c>
    </row>
    <row r="6" spans="1:6" hidden="1" x14ac:dyDescent="0.25">
      <c r="A6" s="1">
        <v>44482</v>
      </c>
      <c r="B6">
        <v>4363.8</v>
      </c>
      <c r="C6" s="3">
        <f t="shared" si="1"/>
        <v>3.0225368623080567E-3</v>
      </c>
      <c r="D6">
        <f>MONTH(tbl_SP500_Clean[[#This Row],[observation_date]])</f>
        <v>10</v>
      </c>
      <c r="E6" t="str">
        <f t="shared" si="0"/>
        <v>No</v>
      </c>
    </row>
    <row r="7" spans="1:6" hidden="1" x14ac:dyDescent="0.25">
      <c r="A7" s="1">
        <v>44483</v>
      </c>
      <c r="B7">
        <v>4438.26</v>
      </c>
      <c r="C7" s="3">
        <f t="shared" si="1"/>
        <v>1.7063110133370005E-2</v>
      </c>
      <c r="D7">
        <f>MONTH(tbl_SP500_Clean[[#This Row],[observation_date]])</f>
        <v>10</v>
      </c>
      <c r="E7" t="str">
        <f t="shared" si="0"/>
        <v>No</v>
      </c>
    </row>
    <row r="8" spans="1:6" hidden="1" x14ac:dyDescent="0.25">
      <c r="A8" s="1">
        <v>44484</v>
      </c>
      <c r="B8">
        <v>4471.37</v>
      </c>
      <c r="C8" s="3">
        <f t="shared" si="1"/>
        <v>7.4601307719691212E-3</v>
      </c>
      <c r="D8">
        <f>MONTH(tbl_SP500_Clean[[#This Row],[observation_date]])</f>
        <v>10</v>
      </c>
      <c r="E8" t="str">
        <f t="shared" si="0"/>
        <v>No</v>
      </c>
    </row>
    <row r="9" spans="1:6" hidden="1" x14ac:dyDescent="0.25">
      <c r="A9" s="1">
        <v>44487</v>
      </c>
      <c r="B9">
        <v>4486.46</v>
      </c>
      <c r="C9" s="3">
        <f t="shared" si="1"/>
        <v>3.3748045900921075E-3</v>
      </c>
      <c r="D9">
        <f>MONTH(tbl_SP500_Clean[[#This Row],[observation_date]])</f>
        <v>10</v>
      </c>
      <c r="E9" t="str">
        <f t="shared" si="0"/>
        <v>No</v>
      </c>
    </row>
    <row r="10" spans="1:6" hidden="1" x14ac:dyDescent="0.25">
      <c r="A10" s="1">
        <v>44488</v>
      </c>
      <c r="B10">
        <v>4519.63</v>
      </c>
      <c r="C10" s="3">
        <f t="shared" si="1"/>
        <v>7.3933569005407542E-3</v>
      </c>
      <c r="D10">
        <f>MONTH(tbl_SP500_Clean[[#This Row],[observation_date]])</f>
        <v>10</v>
      </c>
      <c r="E10" t="str">
        <f t="shared" si="0"/>
        <v>No</v>
      </c>
    </row>
    <row r="11" spans="1:6" hidden="1" x14ac:dyDescent="0.25">
      <c r="A11" s="1">
        <v>44489</v>
      </c>
      <c r="B11">
        <v>4536.1899999999996</v>
      </c>
      <c r="C11" s="3">
        <f t="shared" si="1"/>
        <v>3.6640167447334164E-3</v>
      </c>
      <c r="D11">
        <f>MONTH(tbl_SP500_Clean[[#This Row],[observation_date]])</f>
        <v>10</v>
      </c>
      <c r="E11" t="str">
        <f t="shared" si="0"/>
        <v>No</v>
      </c>
    </row>
    <row r="12" spans="1:6" hidden="1" x14ac:dyDescent="0.25">
      <c r="A12" s="1">
        <v>44490</v>
      </c>
      <c r="B12">
        <v>4549.78</v>
      </c>
      <c r="C12" s="3">
        <f t="shared" si="1"/>
        <v>2.9959062561312789E-3</v>
      </c>
      <c r="D12">
        <f>MONTH(tbl_SP500_Clean[[#This Row],[observation_date]])</f>
        <v>10</v>
      </c>
      <c r="E12" t="str">
        <f t="shared" si="0"/>
        <v>No</v>
      </c>
    </row>
    <row r="13" spans="1:6" hidden="1" x14ac:dyDescent="0.25">
      <c r="A13" s="1">
        <v>44491</v>
      </c>
      <c r="B13">
        <v>4544.8999999999996</v>
      </c>
      <c r="C13" s="3">
        <f t="shared" si="1"/>
        <v>-1.0725793335062594E-3</v>
      </c>
      <c r="D13">
        <f>MONTH(tbl_SP500_Clean[[#This Row],[observation_date]])</f>
        <v>10</v>
      </c>
      <c r="E13" t="str">
        <f t="shared" si="0"/>
        <v>No</v>
      </c>
    </row>
    <row r="14" spans="1:6" hidden="1" x14ac:dyDescent="0.25">
      <c r="A14" s="1">
        <v>44494</v>
      </c>
      <c r="B14">
        <v>4566.4799999999996</v>
      </c>
      <c r="C14" s="3">
        <f t="shared" si="1"/>
        <v>4.7481792778718852E-3</v>
      </c>
      <c r="D14">
        <f>MONTH(tbl_SP500_Clean[[#This Row],[observation_date]])</f>
        <v>10</v>
      </c>
      <c r="E14" t="str">
        <f t="shared" si="0"/>
        <v>No</v>
      </c>
    </row>
    <row r="15" spans="1:6" hidden="1" x14ac:dyDescent="0.25">
      <c r="A15" s="1">
        <v>44495</v>
      </c>
      <c r="B15">
        <v>4574.79</v>
      </c>
      <c r="C15" s="3">
        <f t="shared" si="1"/>
        <v>1.8197824144637446E-3</v>
      </c>
      <c r="D15">
        <f>MONTH(tbl_SP500_Clean[[#This Row],[observation_date]])</f>
        <v>10</v>
      </c>
      <c r="E15" t="str">
        <f t="shared" si="0"/>
        <v>No</v>
      </c>
    </row>
    <row r="16" spans="1:6" hidden="1" x14ac:dyDescent="0.25">
      <c r="A16" s="1">
        <v>44496</v>
      </c>
      <c r="B16">
        <v>4551.68</v>
      </c>
      <c r="C16" s="3">
        <f t="shared" si="1"/>
        <v>-5.0515979968478713E-3</v>
      </c>
      <c r="D16">
        <f>MONTH(tbl_SP500_Clean[[#This Row],[observation_date]])</f>
        <v>10</v>
      </c>
      <c r="E16" t="str">
        <f t="shared" si="0"/>
        <v>No</v>
      </c>
    </row>
    <row r="17" spans="1:5" hidden="1" x14ac:dyDescent="0.25">
      <c r="A17" s="1">
        <v>44497</v>
      </c>
      <c r="B17">
        <v>4596.42</v>
      </c>
      <c r="C17" s="3">
        <f t="shared" si="1"/>
        <v>9.8293377390325717E-3</v>
      </c>
      <c r="D17">
        <f>MONTH(tbl_SP500_Clean[[#This Row],[observation_date]])</f>
        <v>10</v>
      </c>
      <c r="E17" t="str">
        <f t="shared" si="0"/>
        <v>No</v>
      </c>
    </row>
    <row r="18" spans="1:5" x14ac:dyDescent="0.25">
      <c r="A18" s="1">
        <v>44498</v>
      </c>
      <c r="B18">
        <v>4605.38</v>
      </c>
      <c r="C18" s="3">
        <f t="shared" si="1"/>
        <v>1.9493431844783628E-3</v>
      </c>
      <c r="D18">
        <f>MONTH(tbl_SP500_Clean[[#This Row],[observation_date]])</f>
        <v>10</v>
      </c>
      <c r="E18" t="str">
        <f t="shared" si="0"/>
        <v>Yes</v>
      </c>
    </row>
    <row r="19" spans="1:5" hidden="1" x14ac:dyDescent="0.25">
      <c r="A19" s="1">
        <v>44501</v>
      </c>
      <c r="B19">
        <v>4613.67</v>
      </c>
      <c r="C19" s="3">
        <f t="shared" si="1"/>
        <v>1.8000686154019784E-3</v>
      </c>
      <c r="D19">
        <f>MONTH(tbl_SP500_Clean[[#This Row],[observation_date]])</f>
        <v>11</v>
      </c>
      <c r="E19" t="str">
        <f t="shared" si="0"/>
        <v>No</v>
      </c>
    </row>
    <row r="20" spans="1:5" hidden="1" x14ac:dyDescent="0.25">
      <c r="A20" s="1">
        <v>44502</v>
      </c>
      <c r="B20">
        <v>4630.6499999999996</v>
      </c>
      <c r="C20" s="3">
        <f t="shared" si="1"/>
        <v>3.6803672564356712E-3</v>
      </c>
      <c r="D20">
        <f>MONTH(tbl_SP500_Clean[[#This Row],[observation_date]])</f>
        <v>11</v>
      </c>
      <c r="E20" t="str">
        <f t="shared" si="0"/>
        <v>No</v>
      </c>
    </row>
    <row r="21" spans="1:5" hidden="1" x14ac:dyDescent="0.25">
      <c r="A21" s="1">
        <v>44503</v>
      </c>
      <c r="B21">
        <v>4660.57</v>
      </c>
      <c r="C21" s="3">
        <f t="shared" si="1"/>
        <v>6.4612959303769609E-3</v>
      </c>
      <c r="D21">
        <f>MONTH(tbl_SP500_Clean[[#This Row],[observation_date]])</f>
        <v>11</v>
      </c>
      <c r="E21" t="str">
        <f t="shared" si="0"/>
        <v>No</v>
      </c>
    </row>
    <row r="22" spans="1:5" hidden="1" x14ac:dyDescent="0.25">
      <c r="A22" s="1">
        <v>44504</v>
      </c>
      <c r="B22">
        <v>4680.0600000000004</v>
      </c>
      <c r="C22" s="3">
        <f t="shared" si="1"/>
        <v>4.1818919145084595E-3</v>
      </c>
      <c r="D22">
        <f>MONTH(tbl_SP500_Clean[[#This Row],[observation_date]])</f>
        <v>11</v>
      </c>
      <c r="E22" t="str">
        <f t="shared" si="0"/>
        <v>No</v>
      </c>
    </row>
    <row r="23" spans="1:5" hidden="1" x14ac:dyDescent="0.25">
      <c r="A23" s="1">
        <v>44505</v>
      </c>
      <c r="B23">
        <v>4697.53</v>
      </c>
      <c r="C23" s="3">
        <f t="shared" si="1"/>
        <v>3.7328581257503844E-3</v>
      </c>
      <c r="D23">
        <f>MONTH(tbl_SP500_Clean[[#This Row],[observation_date]])</f>
        <v>11</v>
      </c>
      <c r="E23" t="str">
        <f t="shared" si="0"/>
        <v>No</v>
      </c>
    </row>
    <row r="24" spans="1:5" hidden="1" x14ac:dyDescent="0.25">
      <c r="A24" s="1">
        <v>44508</v>
      </c>
      <c r="B24">
        <v>4701.7</v>
      </c>
      <c r="C24" s="3">
        <f t="shared" si="1"/>
        <v>8.8770055752705637E-4</v>
      </c>
      <c r="D24">
        <f>MONTH(tbl_SP500_Clean[[#This Row],[observation_date]])</f>
        <v>11</v>
      </c>
      <c r="E24" t="str">
        <f t="shared" si="0"/>
        <v>No</v>
      </c>
    </row>
    <row r="25" spans="1:5" hidden="1" x14ac:dyDescent="0.25">
      <c r="A25" s="1">
        <v>44509</v>
      </c>
      <c r="B25">
        <v>4685.25</v>
      </c>
      <c r="C25" s="3">
        <f t="shared" si="1"/>
        <v>-3.4987345002870916E-3</v>
      </c>
      <c r="D25">
        <f>MONTH(tbl_SP500_Clean[[#This Row],[observation_date]])</f>
        <v>11</v>
      </c>
      <c r="E25" t="str">
        <f t="shared" si="0"/>
        <v>No</v>
      </c>
    </row>
    <row r="26" spans="1:5" hidden="1" x14ac:dyDescent="0.25">
      <c r="A26" s="1">
        <v>44510</v>
      </c>
      <c r="B26">
        <v>4646.71</v>
      </c>
      <c r="C26" s="3">
        <f t="shared" si="1"/>
        <v>-8.2258150578944488E-3</v>
      </c>
      <c r="D26">
        <f>MONTH(tbl_SP500_Clean[[#This Row],[observation_date]])</f>
        <v>11</v>
      </c>
      <c r="E26" t="str">
        <f t="shared" si="0"/>
        <v>No</v>
      </c>
    </row>
    <row r="27" spans="1:5" hidden="1" x14ac:dyDescent="0.25">
      <c r="A27" s="1">
        <v>44511</v>
      </c>
      <c r="B27">
        <v>4649.2700000000004</v>
      </c>
      <c r="C27" s="3">
        <f t="shared" si="1"/>
        <v>5.5092743037555604E-4</v>
      </c>
      <c r="D27">
        <f>MONTH(tbl_SP500_Clean[[#This Row],[observation_date]])</f>
        <v>11</v>
      </c>
      <c r="E27" t="str">
        <f t="shared" si="0"/>
        <v>No</v>
      </c>
    </row>
    <row r="28" spans="1:5" hidden="1" x14ac:dyDescent="0.25">
      <c r="A28" s="1">
        <v>44512</v>
      </c>
      <c r="B28">
        <v>4682.8500000000004</v>
      </c>
      <c r="C28" s="3">
        <f t="shared" si="1"/>
        <v>7.2226392530440097E-3</v>
      </c>
      <c r="D28">
        <f>MONTH(tbl_SP500_Clean[[#This Row],[observation_date]])</f>
        <v>11</v>
      </c>
      <c r="E28" t="str">
        <f t="shared" si="0"/>
        <v>No</v>
      </c>
    </row>
    <row r="29" spans="1:5" hidden="1" x14ac:dyDescent="0.25">
      <c r="A29" s="1">
        <v>44515</v>
      </c>
      <c r="B29">
        <v>4682.8</v>
      </c>
      <c r="C29" s="3">
        <f t="shared" si="1"/>
        <v>-1.0677258507144559E-5</v>
      </c>
      <c r="D29">
        <f>MONTH(tbl_SP500_Clean[[#This Row],[observation_date]])</f>
        <v>11</v>
      </c>
      <c r="E29" t="str">
        <f t="shared" si="0"/>
        <v>No</v>
      </c>
    </row>
    <row r="30" spans="1:5" hidden="1" x14ac:dyDescent="0.25">
      <c r="A30" s="1">
        <v>44516</v>
      </c>
      <c r="B30">
        <v>4700.8999999999996</v>
      </c>
      <c r="C30" s="3">
        <f t="shared" si="1"/>
        <v>3.8652088494062213E-3</v>
      </c>
      <c r="D30">
        <f>MONTH(tbl_SP500_Clean[[#This Row],[observation_date]])</f>
        <v>11</v>
      </c>
      <c r="E30" t="str">
        <f t="shared" si="0"/>
        <v>No</v>
      </c>
    </row>
    <row r="31" spans="1:5" hidden="1" x14ac:dyDescent="0.25">
      <c r="A31" s="1">
        <v>44517</v>
      </c>
      <c r="B31">
        <v>4688.67</v>
      </c>
      <c r="C31" s="3">
        <f t="shared" si="1"/>
        <v>-2.6016294752067826E-3</v>
      </c>
      <c r="D31">
        <f>MONTH(tbl_SP500_Clean[[#This Row],[observation_date]])</f>
        <v>11</v>
      </c>
      <c r="E31" t="str">
        <f t="shared" si="0"/>
        <v>No</v>
      </c>
    </row>
    <row r="32" spans="1:5" hidden="1" x14ac:dyDescent="0.25">
      <c r="A32" s="1">
        <v>44518</v>
      </c>
      <c r="B32">
        <v>4704.54</v>
      </c>
      <c r="C32" s="3">
        <f t="shared" si="1"/>
        <v>3.384755165110765E-3</v>
      </c>
      <c r="D32">
        <f>MONTH(tbl_SP500_Clean[[#This Row],[observation_date]])</f>
        <v>11</v>
      </c>
      <c r="E32" t="str">
        <f t="shared" si="0"/>
        <v>No</v>
      </c>
    </row>
    <row r="33" spans="1:6" hidden="1" x14ac:dyDescent="0.25">
      <c r="A33" s="1">
        <v>44519</v>
      </c>
      <c r="B33">
        <v>4697.96</v>
      </c>
      <c r="C33" s="3">
        <f t="shared" si="1"/>
        <v>-1.3986489646171415E-3</v>
      </c>
      <c r="D33">
        <f>MONTH(tbl_SP500_Clean[[#This Row],[observation_date]])</f>
        <v>11</v>
      </c>
      <c r="E33" t="str">
        <f t="shared" si="0"/>
        <v>No</v>
      </c>
    </row>
    <row r="34" spans="1:6" hidden="1" x14ac:dyDescent="0.25">
      <c r="A34" s="1">
        <v>44522</v>
      </c>
      <c r="B34">
        <v>4682.9399999999996</v>
      </c>
      <c r="C34" s="3">
        <f t="shared" si="1"/>
        <v>-3.1971323723489421E-3</v>
      </c>
      <c r="D34">
        <f>MONTH(tbl_SP500_Clean[[#This Row],[observation_date]])</f>
        <v>11</v>
      </c>
      <c r="E34" t="str">
        <f t="shared" si="0"/>
        <v>No</v>
      </c>
    </row>
    <row r="35" spans="1:6" hidden="1" x14ac:dyDescent="0.25">
      <c r="A35" s="1">
        <v>44523</v>
      </c>
      <c r="B35">
        <v>4690.7</v>
      </c>
      <c r="C35" s="3">
        <f t="shared" si="1"/>
        <v>1.6570786727996129E-3</v>
      </c>
      <c r="D35">
        <f>MONTH(tbl_SP500_Clean[[#This Row],[observation_date]])</f>
        <v>11</v>
      </c>
      <c r="E35" t="str">
        <f t="shared" si="0"/>
        <v>No</v>
      </c>
    </row>
    <row r="36" spans="1:6" hidden="1" x14ac:dyDescent="0.25">
      <c r="A36" s="1">
        <v>44524</v>
      </c>
      <c r="B36">
        <v>4701.46</v>
      </c>
      <c r="C36" s="3">
        <f t="shared" si="1"/>
        <v>2.2939006971241433E-3</v>
      </c>
      <c r="D36">
        <f>MONTH(tbl_SP500_Clean[[#This Row],[observation_date]])</f>
        <v>11</v>
      </c>
      <c r="E36" t="str">
        <f t="shared" si="0"/>
        <v>No</v>
      </c>
    </row>
    <row r="37" spans="1:6" hidden="1" x14ac:dyDescent="0.25">
      <c r="A37" s="1">
        <v>44525</v>
      </c>
      <c r="C37">
        <f t="shared" si="1"/>
        <v>-1</v>
      </c>
      <c r="D37">
        <f>MONTH(tbl_SP500_Clean[[#This Row],[observation_date]])</f>
        <v>11</v>
      </c>
      <c r="E37" t="str">
        <f t="shared" si="0"/>
        <v>No</v>
      </c>
    </row>
    <row r="38" spans="1:6" hidden="1" x14ac:dyDescent="0.25">
      <c r="A38" s="1">
        <v>44526</v>
      </c>
      <c r="B38">
        <v>4594.62</v>
      </c>
      <c r="C38" s="3" t="e">
        <f t="shared" si="1"/>
        <v>#DIV/0!</v>
      </c>
      <c r="D38">
        <f>MONTH(tbl_SP500_Clean[[#This Row],[observation_date]])</f>
        <v>11</v>
      </c>
      <c r="E38" t="str">
        <f t="shared" si="0"/>
        <v>No</v>
      </c>
    </row>
    <row r="39" spans="1:6" hidden="1" x14ac:dyDescent="0.25">
      <c r="A39" s="1">
        <v>44529</v>
      </c>
      <c r="B39">
        <v>4655.2700000000004</v>
      </c>
      <c r="C39" s="3">
        <f t="shared" si="1"/>
        <v>1.3200221128189174E-2</v>
      </c>
      <c r="D39">
        <f>MONTH(tbl_SP500_Clean[[#This Row],[observation_date]])</f>
        <v>11</v>
      </c>
      <c r="E39" t="str">
        <f t="shared" si="0"/>
        <v>No</v>
      </c>
    </row>
    <row r="40" spans="1:6" x14ac:dyDescent="0.25">
      <c r="A40" s="1">
        <v>44530</v>
      </c>
      <c r="B40">
        <v>4567</v>
      </c>
      <c r="C40" s="3">
        <f t="shared" si="1"/>
        <v>-1.8961306218543805E-2</v>
      </c>
      <c r="D40">
        <f>MONTH(tbl_SP500_Clean[[#This Row],[observation_date]])</f>
        <v>11</v>
      </c>
      <c r="E40" t="str">
        <f t="shared" si="0"/>
        <v>Yes</v>
      </c>
      <c r="F40" s="3">
        <f>(B40-B18)/B18</f>
        <v>-8.3337314184714628E-3</v>
      </c>
    </row>
    <row r="41" spans="1:6" hidden="1" x14ac:dyDescent="0.25">
      <c r="A41" s="1">
        <v>44531</v>
      </c>
      <c r="B41">
        <v>4513.04</v>
      </c>
      <c r="C41" s="3">
        <f t="shared" si="1"/>
        <v>-1.1815195971097009E-2</v>
      </c>
      <c r="D41">
        <f>MONTH(tbl_SP500_Clean[[#This Row],[observation_date]])</f>
        <v>12</v>
      </c>
      <c r="E41" t="str">
        <f t="shared" si="0"/>
        <v>No</v>
      </c>
    </row>
    <row r="42" spans="1:6" hidden="1" x14ac:dyDescent="0.25">
      <c r="A42" s="1">
        <v>44532</v>
      </c>
      <c r="B42">
        <v>4577.1000000000004</v>
      </c>
      <c r="C42" s="3">
        <f t="shared" si="1"/>
        <v>1.4194423271231897E-2</v>
      </c>
      <c r="D42">
        <f>MONTH(tbl_SP500_Clean[[#This Row],[observation_date]])</f>
        <v>12</v>
      </c>
      <c r="E42" t="str">
        <f t="shared" si="0"/>
        <v>No</v>
      </c>
    </row>
    <row r="43" spans="1:6" hidden="1" x14ac:dyDescent="0.25">
      <c r="A43" s="1">
        <v>44533</v>
      </c>
      <c r="B43">
        <v>4538.43</v>
      </c>
      <c r="C43" s="3">
        <f t="shared" si="1"/>
        <v>-8.4485809792226672E-3</v>
      </c>
      <c r="D43">
        <f>MONTH(tbl_SP500_Clean[[#This Row],[observation_date]])</f>
        <v>12</v>
      </c>
      <c r="E43" t="str">
        <f t="shared" si="0"/>
        <v>No</v>
      </c>
    </row>
    <row r="44" spans="1:6" hidden="1" x14ac:dyDescent="0.25">
      <c r="A44" s="1">
        <v>44536</v>
      </c>
      <c r="B44">
        <v>4591.67</v>
      </c>
      <c r="C44" s="3">
        <f t="shared" si="1"/>
        <v>1.1730928977641998E-2</v>
      </c>
      <c r="D44">
        <f>MONTH(tbl_SP500_Clean[[#This Row],[observation_date]])</f>
        <v>12</v>
      </c>
      <c r="E44" t="str">
        <f t="shared" si="0"/>
        <v>No</v>
      </c>
    </row>
    <row r="45" spans="1:6" hidden="1" x14ac:dyDescent="0.25">
      <c r="A45" s="1">
        <v>44537</v>
      </c>
      <c r="B45">
        <v>4686.75</v>
      </c>
      <c r="C45" s="3">
        <f t="shared" si="1"/>
        <v>2.070706300757675E-2</v>
      </c>
      <c r="D45">
        <f>MONTH(tbl_SP500_Clean[[#This Row],[observation_date]])</f>
        <v>12</v>
      </c>
      <c r="E45" t="str">
        <f t="shared" si="0"/>
        <v>No</v>
      </c>
    </row>
    <row r="46" spans="1:6" hidden="1" x14ac:dyDescent="0.25">
      <c r="A46" s="1">
        <v>44538</v>
      </c>
      <c r="B46">
        <v>4701.21</v>
      </c>
      <c r="C46" s="3">
        <f t="shared" si="1"/>
        <v>3.0852936469835252E-3</v>
      </c>
      <c r="D46">
        <f>MONTH(tbl_SP500_Clean[[#This Row],[observation_date]])</f>
        <v>12</v>
      </c>
      <c r="E46" t="str">
        <f t="shared" si="0"/>
        <v>No</v>
      </c>
    </row>
    <row r="47" spans="1:6" hidden="1" x14ac:dyDescent="0.25">
      <c r="A47" s="1">
        <v>44539</v>
      </c>
      <c r="B47">
        <v>4667.45</v>
      </c>
      <c r="C47" s="3">
        <f t="shared" si="1"/>
        <v>-7.1811299644134637E-3</v>
      </c>
      <c r="D47">
        <f>MONTH(tbl_SP500_Clean[[#This Row],[observation_date]])</f>
        <v>12</v>
      </c>
      <c r="E47" t="str">
        <f t="shared" si="0"/>
        <v>No</v>
      </c>
    </row>
    <row r="48" spans="1:6" hidden="1" x14ac:dyDescent="0.25">
      <c r="A48" s="1">
        <v>44540</v>
      </c>
      <c r="B48">
        <v>4712.0200000000004</v>
      </c>
      <c r="C48" s="3">
        <f t="shared" si="1"/>
        <v>9.5491113991581309E-3</v>
      </c>
      <c r="D48">
        <f>MONTH(tbl_SP500_Clean[[#This Row],[observation_date]])</f>
        <v>12</v>
      </c>
      <c r="E48" t="str">
        <f t="shared" si="0"/>
        <v>No</v>
      </c>
    </row>
    <row r="49" spans="1:6" hidden="1" x14ac:dyDescent="0.25">
      <c r="A49" s="1">
        <v>44543</v>
      </c>
      <c r="B49">
        <v>4668.97</v>
      </c>
      <c r="C49" s="3">
        <f t="shared" si="1"/>
        <v>-9.1362090992822987E-3</v>
      </c>
      <c r="D49">
        <f>MONTH(tbl_SP500_Clean[[#This Row],[observation_date]])</f>
        <v>12</v>
      </c>
      <c r="E49" t="str">
        <f t="shared" si="0"/>
        <v>No</v>
      </c>
    </row>
    <row r="50" spans="1:6" hidden="1" x14ac:dyDescent="0.25">
      <c r="A50" s="1">
        <v>44544</v>
      </c>
      <c r="B50">
        <v>4634.09</v>
      </c>
      <c r="C50" s="3">
        <f t="shared" si="1"/>
        <v>-7.4705984403412549E-3</v>
      </c>
      <c r="D50">
        <f>MONTH(tbl_SP500_Clean[[#This Row],[observation_date]])</f>
        <v>12</v>
      </c>
      <c r="E50" t="str">
        <f t="shared" si="0"/>
        <v>No</v>
      </c>
    </row>
    <row r="51" spans="1:6" hidden="1" x14ac:dyDescent="0.25">
      <c r="A51" s="1">
        <v>44545</v>
      </c>
      <c r="B51">
        <v>4709.8500000000004</v>
      </c>
      <c r="C51" s="3">
        <f t="shared" si="1"/>
        <v>1.634840928855508E-2</v>
      </c>
      <c r="D51">
        <f>MONTH(tbl_SP500_Clean[[#This Row],[observation_date]])</f>
        <v>12</v>
      </c>
      <c r="E51" t="str">
        <f t="shared" si="0"/>
        <v>No</v>
      </c>
    </row>
    <row r="52" spans="1:6" hidden="1" x14ac:dyDescent="0.25">
      <c r="A52" s="1">
        <v>44546</v>
      </c>
      <c r="B52">
        <v>4668.67</v>
      </c>
      <c r="C52" s="3">
        <f t="shared" si="1"/>
        <v>-8.7433782392221174E-3</v>
      </c>
      <c r="D52">
        <f>MONTH(tbl_SP500_Clean[[#This Row],[observation_date]])</f>
        <v>12</v>
      </c>
      <c r="E52" t="str">
        <f t="shared" si="0"/>
        <v>No</v>
      </c>
    </row>
    <row r="53" spans="1:6" hidden="1" x14ac:dyDescent="0.25">
      <c r="A53" s="1">
        <v>44547</v>
      </c>
      <c r="B53">
        <v>4620.6400000000003</v>
      </c>
      <c r="C53" s="3">
        <f t="shared" si="1"/>
        <v>-1.0287726483131115E-2</v>
      </c>
      <c r="D53">
        <f>MONTH(tbl_SP500_Clean[[#This Row],[observation_date]])</f>
        <v>12</v>
      </c>
      <c r="E53" t="str">
        <f t="shared" si="0"/>
        <v>No</v>
      </c>
    </row>
    <row r="54" spans="1:6" hidden="1" x14ac:dyDescent="0.25">
      <c r="A54" s="1">
        <v>44550</v>
      </c>
      <c r="B54">
        <v>4568.0200000000004</v>
      </c>
      <c r="C54" s="3">
        <f t="shared" si="1"/>
        <v>-1.1388032826621396E-2</v>
      </c>
      <c r="D54">
        <f>MONTH(tbl_SP500_Clean[[#This Row],[observation_date]])</f>
        <v>12</v>
      </c>
      <c r="E54" t="str">
        <f t="shared" si="0"/>
        <v>No</v>
      </c>
    </row>
    <row r="55" spans="1:6" hidden="1" x14ac:dyDescent="0.25">
      <c r="A55" s="1">
        <v>44551</v>
      </c>
      <c r="B55">
        <v>4649.2299999999996</v>
      </c>
      <c r="C55" s="3">
        <f t="shared" si="1"/>
        <v>1.7777943178882562E-2</v>
      </c>
      <c r="D55">
        <f>MONTH(tbl_SP500_Clean[[#This Row],[observation_date]])</f>
        <v>12</v>
      </c>
      <c r="E55" t="str">
        <f t="shared" si="0"/>
        <v>No</v>
      </c>
    </row>
    <row r="56" spans="1:6" hidden="1" x14ac:dyDescent="0.25">
      <c r="A56" s="1">
        <v>44552</v>
      </c>
      <c r="B56">
        <v>4696.5600000000004</v>
      </c>
      <c r="C56" s="3">
        <f t="shared" si="1"/>
        <v>1.0180180373954578E-2</v>
      </c>
      <c r="D56">
        <f>MONTH(tbl_SP500_Clean[[#This Row],[observation_date]])</f>
        <v>12</v>
      </c>
      <c r="E56" t="str">
        <f t="shared" si="0"/>
        <v>No</v>
      </c>
    </row>
    <row r="57" spans="1:6" hidden="1" x14ac:dyDescent="0.25">
      <c r="A57" s="1">
        <v>44553</v>
      </c>
      <c r="B57">
        <v>4725.79</v>
      </c>
      <c r="C57" s="3">
        <f t="shared" si="1"/>
        <v>6.2237041579367791E-3</v>
      </c>
      <c r="D57">
        <f>MONTH(tbl_SP500_Clean[[#This Row],[observation_date]])</f>
        <v>12</v>
      </c>
      <c r="E57" t="str">
        <f t="shared" si="0"/>
        <v>No</v>
      </c>
    </row>
    <row r="58" spans="1:6" hidden="1" x14ac:dyDescent="0.25">
      <c r="A58" s="1">
        <v>44554</v>
      </c>
      <c r="C58">
        <f t="shared" si="1"/>
        <v>-1</v>
      </c>
      <c r="D58">
        <f>MONTH(tbl_SP500_Clean[[#This Row],[observation_date]])</f>
        <v>12</v>
      </c>
      <c r="E58" t="str">
        <f t="shared" si="0"/>
        <v>No</v>
      </c>
    </row>
    <row r="59" spans="1:6" hidden="1" x14ac:dyDescent="0.25">
      <c r="A59" s="1">
        <v>44557</v>
      </c>
      <c r="B59">
        <v>4791.1899999999996</v>
      </c>
      <c r="C59" s="3" t="e">
        <f t="shared" si="1"/>
        <v>#DIV/0!</v>
      </c>
      <c r="D59">
        <f>MONTH(tbl_SP500_Clean[[#This Row],[observation_date]])</f>
        <v>12</v>
      </c>
      <c r="E59" t="str">
        <f t="shared" si="0"/>
        <v>No</v>
      </c>
    </row>
    <row r="60" spans="1:6" hidden="1" x14ac:dyDescent="0.25">
      <c r="A60" s="1">
        <v>44558</v>
      </c>
      <c r="B60">
        <v>4786.3500000000004</v>
      </c>
      <c r="C60" s="3">
        <f t="shared" si="1"/>
        <v>-1.0101874482120801E-3</v>
      </c>
      <c r="D60">
        <f>MONTH(tbl_SP500_Clean[[#This Row],[observation_date]])</f>
        <v>12</v>
      </c>
      <c r="E60" t="str">
        <f t="shared" si="0"/>
        <v>No</v>
      </c>
    </row>
    <row r="61" spans="1:6" hidden="1" x14ac:dyDescent="0.25">
      <c r="A61" s="1">
        <v>44559</v>
      </c>
      <c r="B61">
        <v>4793.0600000000004</v>
      </c>
      <c r="C61" s="3">
        <f t="shared" si="1"/>
        <v>1.4019033292592552E-3</v>
      </c>
      <c r="D61">
        <f>MONTH(tbl_SP500_Clean[[#This Row],[observation_date]])</f>
        <v>12</v>
      </c>
      <c r="E61" t="str">
        <f t="shared" si="0"/>
        <v>No</v>
      </c>
    </row>
    <row r="62" spans="1:6" hidden="1" x14ac:dyDescent="0.25">
      <c r="A62" s="1">
        <v>44560</v>
      </c>
      <c r="B62">
        <v>4778.7299999999996</v>
      </c>
      <c r="C62" s="3">
        <f t="shared" si="1"/>
        <v>-2.9897393314502292E-3</v>
      </c>
      <c r="D62">
        <f>MONTH(tbl_SP500_Clean[[#This Row],[observation_date]])</f>
        <v>12</v>
      </c>
      <c r="E62" t="str">
        <f t="shared" si="0"/>
        <v>No</v>
      </c>
    </row>
    <row r="63" spans="1:6" x14ac:dyDescent="0.25">
      <c r="A63" s="1">
        <v>44561</v>
      </c>
      <c r="B63">
        <v>4766.18</v>
      </c>
      <c r="C63" s="3">
        <f t="shared" si="1"/>
        <v>-2.6262207741385834E-3</v>
      </c>
      <c r="D63">
        <f>MONTH(tbl_SP500_Clean[[#This Row],[observation_date]])</f>
        <v>12</v>
      </c>
      <c r="E63" t="str">
        <f t="shared" si="0"/>
        <v>Yes</v>
      </c>
      <c r="F63" s="3">
        <f>(B63-B40)/B40</f>
        <v>4.3612874972629799E-2</v>
      </c>
    </row>
    <row r="64" spans="1:6" hidden="1" x14ac:dyDescent="0.25">
      <c r="A64" s="1">
        <v>44564</v>
      </c>
      <c r="B64">
        <v>4796.5600000000004</v>
      </c>
      <c r="C64" s="3">
        <f t="shared" si="1"/>
        <v>6.3740773533521831E-3</v>
      </c>
      <c r="D64">
        <f>MONTH(tbl_SP500_Clean[[#This Row],[observation_date]])</f>
        <v>1</v>
      </c>
      <c r="E64" t="str">
        <f t="shared" si="0"/>
        <v>No</v>
      </c>
      <c r="F64" s="3">
        <f t="shared" ref="F64:F84" si="2">(B64-B41)/B41</f>
        <v>6.2822399092407874E-2</v>
      </c>
    </row>
    <row r="65" spans="1:6" hidden="1" x14ac:dyDescent="0.25">
      <c r="A65" s="1">
        <v>44565</v>
      </c>
      <c r="B65">
        <v>4793.54</v>
      </c>
      <c r="C65" s="3">
        <f t="shared" si="1"/>
        <v>-6.2961789282328087E-4</v>
      </c>
      <c r="D65">
        <f>MONTH(tbl_SP500_Clean[[#This Row],[observation_date]])</f>
        <v>1</v>
      </c>
      <c r="E65" t="str">
        <f t="shared" si="0"/>
        <v>No</v>
      </c>
      <c r="F65" s="3">
        <f t="shared" si="2"/>
        <v>4.7287583841296797E-2</v>
      </c>
    </row>
    <row r="66" spans="1:6" hidden="1" x14ac:dyDescent="0.25">
      <c r="A66" s="1">
        <v>44566</v>
      </c>
      <c r="B66">
        <v>4700.58</v>
      </c>
      <c r="C66" s="3">
        <f t="shared" ref="C66:C129" si="3">(B66-B65)/B65</f>
        <v>-1.9392766097706505E-2</v>
      </c>
      <c r="D66">
        <f>MONTH(tbl_SP500_Clean[[#This Row],[observation_date]])</f>
        <v>1</v>
      </c>
      <c r="E66" t="str">
        <f t="shared" ref="E66:E129" si="4">IF(D66&lt;&gt;D67,"Yes","No")</f>
        <v>No</v>
      </c>
      <c r="F66" s="3">
        <f t="shared" si="2"/>
        <v>3.5728214382506646E-2</v>
      </c>
    </row>
    <row r="67" spans="1:6" hidden="1" x14ac:dyDescent="0.25">
      <c r="A67" s="1">
        <v>44567</v>
      </c>
      <c r="B67">
        <v>4696.05</v>
      </c>
      <c r="C67" s="3">
        <f t="shared" si="3"/>
        <v>-9.6371086121281742E-4</v>
      </c>
      <c r="D67">
        <f>MONTH(tbl_SP500_Clean[[#This Row],[observation_date]])</f>
        <v>1</v>
      </c>
      <c r="E67" t="str">
        <f t="shared" si="4"/>
        <v>No</v>
      </c>
      <c r="F67" s="3">
        <f t="shared" si="2"/>
        <v>2.2732469885684316E-2</v>
      </c>
    </row>
    <row r="68" spans="1:6" hidden="1" x14ac:dyDescent="0.25">
      <c r="A68" s="1">
        <v>44568</v>
      </c>
      <c r="B68">
        <v>4677.03</v>
      </c>
      <c r="C68" s="3">
        <f t="shared" si="3"/>
        <v>-4.0502124125595847E-3</v>
      </c>
      <c r="D68">
        <f>MONTH(tbl_SP500_Clean[[#This Row],[observation_date]])</f>
        <v>1</v>
      </c>
      <c r="E68" t="str">
        <f t="shared" si="4"/>
        <v>No</v>
      </c>
      <c r="F68" s="3">
        <f t="shared" si="2"/>
        <v>-2.0739318290927092E-3</v>
      </c>
    </row>
    <row r="69" spans="1:6" hidden="1" x14ac:dyDescent="0.25">
      <c r="A69" s="1">
        <v>44571</v>
      </c>
      <c r="B69">
        <v>4670.29</v>
      </c>
      <c r="C69" s="3">
        <f t="shared" si="3"/>
        <v>-1.441085475183991E-3</v>
      </c>
      <c r="D69">
        <f>MONTH(tbl_SP500_Clean[[#This Row],[observation_date]])</f>
        <v>1</v>
      </c>
      <c r="E69" t="str">
        <f t="shared" si="4"/>
        <v>No</v>
      </c>
      <c r="F69" s="3">
        <f t="shared" si="2"/>
        <v>-6.5770301688288912E-3</v>
      </c>
    </row>
    <row r="70" spans="1:6" hidden="1" x14ac:dyDescent="0.25">
      <c r="A70" s="1">
        <v>44572</v>
      </c>
      <c r="B70">
        <v>4713.07</v>
      </c>
      <c r="C70" s="3">
        <f t="shared" si="3"/>
        <v>9.160030747555236E-3</v>
      </c>
      <c r="D70">
        <f>MONTH(tbl_SP500_Clean[[#This Row],[observation_date]])</f>
        <v>1</v>
      </c>
      <c r="E70" t="str">
        <f t="shared" si="4"/>
        <v>No</v>
      </c>
      <c r="F70" s="3">
        <f t="shared" si="2"/>
        <v>9.774073637639373E-3</v>
      </c>
    </row>
    <row r="71" spans="1:6" hidden="1" x14ac:dyDescent="0.25">
      <c r="A71" s="1">
        <v>44573</v>
      </c>
      <c r="B71">
        <v>4726.3500000000004</v>
      </c>
      <c r="C71" s="3">
        <f t="shared" si="3"/>
        <v>2.8176963210817269E-3</v>
      </c>
      <c r="D71">
        <f>MONTH(tbl_SP500_Clean[[#This Row],[observation_date]])</f>
        <v>1</v>
      </c>
      <c r="E71" t="str">
        <f t="shared" si="4"/>
        <v>No</v>
      </c>
      <c r="F71" s="3">
        <f t="shared" si="2"/>
        <v>3.0411585689364487E-3</v>
      </c>
    </row>
    <row r="72" spans="1:6" hidden="1" x14ac:dyDescent="0.25">
      <c r="A72" s="1">
        <v>44574</v>
      </c>
      <c r="B72">
        <v>4659.03</v>
      </c>
      <c r="C72" s="3">
        <f t="shared" si="3"/>
        <v>-1.4243549462058589E-2</v>
      </c>
      <c r="D72">
        <f>MONTH(tbl_SP500_Clean[[#This Row],[observation_date]])</f>
        <v>1</v>
      </c>
      <c r="E72" t="str">
        <f t="shared" si="4"/>
        <v>No</v>
      </c>
      <c r="F72" s="3">
        <f t="shared" si="2"/>
        <v>-2.1289492114964347E-3</v>
      </c>
    </row>
    <row r="73" spans="1:6" hidden="1" x14ac:dyDescent="0.25">
      <c r="A73" s="1">
        <v>44575</v>
      </c>
      <c r="B73">
        <v>4662.8500000000004</v>
      </c>
      <c r="C73" s="3">
        <f t="shared" si="3"/>
        <v>8.1991315788922125E-4</v>
      </c>
      <c r="D73">
        <f>MONTH(tbl_SP500_Clean[[#This Row],[observation_date]])</f>
        <v>1</v>
      </c>
      <c r="E73" t="str">
        <f t="shared" si="4"/>
        <v>No</v>
      </c>
      <c r="F73" s="3">
        <f t="shared" si="2"/>
        <v>6.2061807172498198E-3</v>
      </c>
    </row>
    <row r="74" spans="1:6" hidden="1" x14ac:dyDescent="0.25">
      <c r="A74" s="1">
        <v>44578</v>
      </c>
      <c r="C74">
        <f t="shared" si="3"/>
        <v>-1</v>
      </c>
      <c r="D74">
        <f>MONTH(tbl_SP500_Clean[[#This Row],[observation_date]])</f>
        <v>1</v>
      </c>
      <c r="E74" t="str">
        <f t="shared" si="4"/>
        <v>No</v>
      </c>
      <c r="F74" s="3">
        <f t="shared" si="2"/>
        <v>-1</v>
      </c>
    </row>
    <row r="75" spans="1:6" hidden="1" x14ac:dyDescent="0.25">
      <c r="A75" s="1">
        <v>44579</v>
      </c>
      <c r="B75">
        <v>4577.1099999999997</v>
      </c>
      <c r="C75" s="3" t="e">
        <f t="shared" si="3"/>
        <v>#DIV/0!</v>
      </c>
      <c r="D75">
        <f>MONTH(tbl_SP500_Clean[[#This Row],[observation_date]])</f>
        <v>1</v>
      </c>
      <c r="E75" t="str">
        <f t="shared" si="4"/>
        <v>No</v>
      </c>
      <c r="F75" s="3">
        <f t="shared" si="2"/>
        <v>-1.9611581028430025E-2</v>
      </c>
    </row>
    <row r="76" spans="1:6" hidden="1" x14ac:dyDescent="0.25">
      <c r="A76" s="1">
        <v>44580</v>
      </c>
      <c r="B76">
        <v>4532.76</v>
      </c>
      <c r="C76" s="3">
        <f t="shared" si="3"/>
        <v>-9.6895202431227252E-3</v>
      </c>
      <c r="D76">
        <f>MONTH(tbl_SP500_Clean[[#This Row],[observation_date]])</f>
        <v>1</v>
      </c>
      <c r="E76" t="str">
        <f t="shared" si="4"/>
        <v>No</v>
      </c>
      <c r="F76" s="3">
        <f t="shared" si="2"/>
        <v>-1.901901035354412E-2</v>
      </c>
    </row>
    <row r="77" spans="1:6" hidden="1" x14ac:dyDescent="0.25">
      <c r="A77" s="1">
        <v>44581</v>
      </c>
      <c r="B77">
        <v>4482.7299999999996</v>
      </c>
      <c r="C77" s="3">
        <f t="shared" si="3"/>
        <v>-1.1037425321437856E-2</v>
      </c>
      <c r="D77">
        <f>MONTH(tbl_SP500_Clean[[#This Row],[observation_date]])</f>
        <v>1</v>
      </c>
      <c r="E77" t="str">
        <f t="shared" si="4"/>
        <v>No</v>
      </c>
      <c r="F77" s="3">
        <f t="shared" si="2"/>
        <v>-1.8671109145756995E-2</v>
      </c>
    </row>
    <row r="78" spans="1:6" hidden="1" x14ac:dyDescent="0.25">
      <c r="A78" s="1">
        <v>44582</v>
      </c>
      <c r="B78">
        <v>4397.9399999999996</v>
      </c>
      <c r="C78" s="3">
        <f t="shared" si="3"/>
        <v>-1.8914813071498834E-2</v>
      </c>
      <c r="D78">
        <f>MONTH(tbl_SP500_Clean[[#This Row],[observation_date]])</f>
        <v>1</v>
      </c>
      <c r="E78" t="str">
        <f t="shared" si="4"/>
        <v>No</v>
      </c>
      <c r="F78" s="3">
        <f t="shared" si="2"/>
        <v>-5.4049810398711179E-2</v>
      </c>
    </row>
    <row r="79" spans="1:6" hidden="1" x14ac:dyDescent="0.25">
      <c r="A79" s="1">
        <v>44585</v>
      </c>
      <c r="B79">
        <v>4410.13</v>
      </c>
      <c r="C79" s="3">
        <f t="shared" si="3"/>
        <v>2.7717522294529963E-3</v>
      </c>
      <c r="D79">
        <f>MONTH(tbl_SP500_Clean[[#This Row],[observation_date]])</f>
        <v>1</v>
      </c>
      <c r="E79" t="str">
        <f t="shared" si="4"/>
        <v>No</v>
      </c>
      <c r="F79" s="3">
        <f t="shared" si="2"/>
        <v>-6.0987190624627444E-2</v>
      </c>
    </row>
    <row r="80" spans="1:6" hidden="1" x14ac:dyDescent="0.25">
      <c r="A80" s="1">
        <v>44586</v>
      </c>
      <c r="B80">
        <v>4356.45</v>
      </c>
      <c r="C80" s="3">
        <f t="shared" si="3"/>
        <v>-1.2171976789799912E-2</v>
      </c>
      <c r="D80">
        <f>MONTH(tbl_SP500_Clean[[#This Row],[observation_date]])</f>
        <v>1</v>
      </c>
      <c r="E80" t="str">
        <f t="shared" si="4"/>
        <v>No</v>
      </c>
      <c r="F80" s="3">
        <f t="shared" si="2"/>
        <v>-7.8154128727683653E-2</v>
      </c>
    </row>
    <row r="81" spans="1:6" hidden="1" x14ac:dyDescent="0.25">
      <c r="A81" s="1">
        <v>44587</v>
      </c>
      <c r="B81">
        <v>4349.93</v>
      </c>
      <c r="C81" s="3">
        <f t="shared" si="3"/>
        <v>-1.4966314315554012E-3</v>
      </c>
      <c r="D81">
        <f>MONTH(tbl_SP500_Clean[[#This Row],[observation_date]])</f>
        <v>1</v>
      </c>
      <c r="E81" t="str">
        <f t="shared" si="4"/>
        <v>No</v>
      </c>
      <c r="F81" s="3" t="e">
        <f t="shared" si="2"/>
        <v>#DIV/0!</v>
      </c>
    </row>
    <row r="82" spans="1:6" hidden="1" x14ac:dyDescent="0.25">
      <c r="A82" s="1">
        <v>44588</v>
      </c>
      <c r="B82">
        <v>4326.51</v>
      </c>
      <c r="C82" s="3">
        <f t="shared" si="3"/>
        <v>-5.3839946849719581E-3</v>
      </c>
      <c r="D82">
        <f>MONTH(tbl_SP500_Clean[[#This Row],[observation_date]])</f>
        <v>1</v>
      </c>
      <c r="E82" t="str">
        <f t="shared" si="4"/>
        <v>No</v>
      </c>
      <c r="F82" s="3">
        <f t="shared" si="2"/>
        <v>-9.6986343684971665E-2</v>
      </c>
    </row>
    <row r="83" spans="1:6" hidden="1" x14ac:dyDescent="0.25">
      <c r="A83" s="1">
        <v>44589</v>
      </c>
      <c r="B83">
        <v>4431.8500000000004</v>
      </c>
      <c r="C83" s="3">
        <f t="shared" si="3"/>
        <v>2.4347568825681704E-2</v>
      </c>
      <c r="D83">
        <f>MONTH(tbl_SP500_Clean[[#This Row],[observation_date]])</f>
        <v>1</v>
      </c>
      <c r="E83" t="str">
        <f t="shared" si="4"/>
        <v>No</v>
      </c>
      <c r="F83" s="3">
        <f t="shared" si="2"/>
        <v>-7.406478840870391E-2</v>
      </c>
    </row>
    <row r="84" spans="1:6" x14ac:dyDescent="0.25">
      <c r="A84" s="1">
        <v>44592</v>
      </c>
      <c r="B84">
        <v>4515.55</v>
      </c>
      <c r="C84" s="3">
        <f t="shared" si="3"/>
        <v>1.8886018254227876E-2</v>
      </c>
      <c r="D84">
        <f>MONTH(tbl_SP500_Clean[[#This Row],[observation_date]])</f>
        <v>1</v>
      </c>
      <c r="E84" t="str">
        <f t="shared" si="4"/>
        <v>Yes</v>
      </c>
      <c r="F84" s="3">
        <f t="shared" si="2"/>
        <v>-5.7898294617634703E-2</v>
      </c>
    </row>
    <row r="85" spans="1:6" hidden="1" x14ac:dyDescent="0.25">
      <c r="A85" s="1">
        <v>44593</v>
      </c>
      <c r="B85">
        <v>4546.54</v>
      </c>
      <c r="C85" s="3">
        <f t="shared" si="3"/>
        <v>6.8629513569775065E-3</v>
      </c>
      <c r="D85">
        <f>MONTH(tbl_SP500_Clean[[#This Row],[observation_date]])</f>
        <v>2</v>
      </c>
      <c r="E85" t="str">
        <f t="shared" si="4"/>
        <v>No</v>
      </c>
    </row>
    <row r="86" spans="1:6" hidden="1" x14ac:dyDescent="0.25">
      <c r="A86" s="1">
        <v>44594</v>
      </c>
      <c r="B86">
        <v>4589.38</v>
      </c>
      <c r="C86" s="3">
        <f t="shared" si="3"/>
        <v>9.4225498950850865E-3</v>
      </c>
      <c r="D86">
        <f>MONTH(tbl_SP500_Clean[[#This Row],[observation_date]])</f>
        <v>2</v>
      </c>
      <c r="E86" t="str">
        <f t="shared" si="4"/>
        <v>No</v>
      </c>
    </row>
    <row r="87" spans="1:6" hidden="1" x14ac:dyDescent="0.25">
      <c r="A87" s="1">
        <v>44595</v>
      </c>
      <c r="B87">
        <v>4477.4399999999996</v>
      </c>
      <c r="C87" s="3">
        <f t="shared" si="3"/>
        <v>-2.4391094221877574E-2</v>
      </c>
      <c r="D87">
        <f>MONTH(tbl_SP500_Clean[[#This Row],[observation_date]])</f>
        <v>2</v>
      </c>
      <c r="E87" t="str">
        <f t="shared" si="4"/>
        <v>No</v>
      </c>
    </row>
    <row r="88" spans="1:6" hidden="1" x14ac:dyDescent="0.25">
      <c r="A88" s="1">
        <v>44596</v>
      </c>
      <c r="B88">
        <v>4500.53</v>
      </c>
      <c r="C88" s="3">
        <f t="shared" si="3"/>
        <v>5.1569646941109536E-3</v>
      </c>
      <c r="D88">
        <f>MONTH(tbl_SP500_Clean[[#This Row],[observation_date]])</f>
        <v>2</v>
      </c>
      <c r="E88" t="str">
        <f t="shared" si="4"/>
        <v>No</v>
      </c>
    </row>
    <row r="89" spans="1:6" hidden="1" x14ac:dyDescent="0.25">
      <c r="A89" s="1">
        <v>44599</v>
      </c>
      <c r="B89">
        <v>4483.87</v>
      </c>
      <c r="C89" s="3">
        <f t="shared" si="3"/>
        <v>-3.7017862340657333E-3</v>
      </c>
      <c r="D89">
        <f>MONTH(tbl_SP500_Clean[[#This Row],[observation_date]])</f>
        <v>2</v>
      </c>
      <c r="E89" t="str">
        <f t="shared" si="4"/>
        <v>No</v>
      </c>
    </row>
    <row r="90" spans="1:6" hidden="1" x14ac:dyDescent="0.25">
      <c r="A90" s="1">
        <v>44600</v>
      </c>
      <c r="B90">
        <v>4521.54</v>
      </c>
      <c r="C90" s="3">
        <f t="shared" si="3"/>
        <v>8.4012248347967427E-3</v>
      </c>
      <c r="D90">
        <f>MONTH(tbl_SP500_Clean[[#This Row],[observation_date]])</f>
        <v>2</v>
      </c>
      <c r="E90" t="str">
        <f t="shared" si="4"/>
        <v>No</v>
      </c>
    </row>
    <row r="91" spans="1:6" hidden="1" x14ac:dyDescent="0.25">
      <c r="A91" s="1">
        <v>44601</v>
      </c>
      <c r="B91">
        <v>4587.18</v>
      </c>
      <c r="C91" s="3">
        <f t="shared" si="3"/>
        <v>1.4517177775713657E-2</v>
      </c>
      <c r="D91">
        <f>MONTH(tbl_SP500_Clean[[#This Row],[observation_date]])</f>
        <v>2</v>
      </c>
      <c r="E91" t="str">
        <f t="shared" si="4"/>
        <v>No</v>
      </c>
    </row>
    <row r="92" spans="1:6" hidden="1" x14ac:dyDescent="0.25">
      <c r="A92" s="1">
        <v>44602</v>
      </c>
      <c r="B92">
        <v>4504.08</v>
      </c>
      <c r="C92" s="3">
        <f t="shared" si="3"/>
        <v>-1.8115705073705492E-2</v>
      </c>
      <c r="D92">
        <f>MONTH(tbl_SP500_Clean[[#This Row],[observation_date]])</f>
        <v>2</v>
      </c>
      <c r="E92" t="str">
        <f t="shared" si="4"/>
        <v>No</v>
      </c>
    </row>
    <row r="93" spans="1:6" hidden="1" x14ac:dyDescent="0.25">
      <c r="A93" s="1">
        <v>44603</v>
      </c>
      <c r="B93">
        <v>4418.6400000000003</v>
      </c>
      <c r="C93" s="3">
        <f t="shared" si="3"/>
        <v>-1.8969467682634324E-2</v>
      </c>
      <c r="D93">
        <f>MONTH(tbl_SP500_Clean[[#This Row],[observation_date]])</f>
        <v>2</v>
      </c>
      <c r="E93" t="str">
        <f t="shared" si="4"/>
        <v>No</v>
      </c>
    </row>
    <row r="94" spans="1:6" hidden="1" x14ac:dyDescent="0.25">
      <c r="A94" s="1">
        <v>44606</v>
      </c>
      <c r="B94">
        <v>4401.67</v>
      </c>
      <c r="C94" s="3">
        <f t="shared" si="3"/>
        <v>-3.8405482229826944E-3</v>
      </c>
      <c r="D94">
        <f>MONTH(tbl_SP500_Clean[[#This Row],[observation_date]])</f>
        <v>2</v>
      </c>
      <c r="E94" t="str">
        <f t="shared" si="4"/>
        <v>No</v>
      </c>
    </row>
    <row r="95" spans="1:6" hidden="1" x14ac:dyDescent="0.25">
      <c r="A95" s="1">
        <v>44607</v>
      </c>
      <c r="B95">
        <v>4471.07</v>
      </c>
      <c r="C95" s="3">
        <f t="shared" si="3"/>
        <v>1.5766743077059307E-2</v>
      </c>
      <c r="D95">
        <f>MONTH(tbl_SP500_Clean[[#This Row],[observation_date]])</f>
        <v>2</v>
      </c>
      <c r="E95" t="str">
        <f t="shared" si="4"/>
        <v>No</v>
      </c>
    </row>
    <row r="96" spans="1:6" hidden="1" x14ac:dyDescent="0.25">
      <c r="A96" s="1">
        <v>44608</v>
      </c>
      <c r="B96">
        <v>4475.01</v>
      </c>
      <c r="C96" s="3">
        <f t="shared" si="3"/>
        <v>8.812208263347497E-4</v>
      </c>
      <c r="D96">
        <f>MONTH(tbl_SP500_Clean[[#This Row],[observation_date]])</f>
        <v>2</v>
      </c>
      <c r="E96" t="str">
        <f t="shared" si="4"/>
        <v>No</v>
      </c>
    </row>
    <row r="97" spans="1:5" hidden="1" x14ac:dyDescent="0.25">
      <c r="A97" s="1">
        <v>44609</v>
      </c>
      <c r="B97">
        <v>4380.26</v>
      </c>
      <c r="C97" s="3">
        <f t="shared" si="3"/>
        <v>-2.1173137043269175E-2</v>
      </c>
      <c r="D97">
        <f>MONTH(tbl_SP500_Clean[[#This Row],[observation_date]])</f>
        <v>2</v>
      </c>
      <c r="E97" t="str">
        <f t="shared" si="4"/>
        <v>No</v>
      </c>
    </row>
    <row r="98" spans="1:5" hidden="1" x14ac:dyDescent="0.25">
      <c r="A98" s="1">
        <v>44610</v>
      </c>
      <c r="B98">
        <v>4348.87</v>
      </c>
      <c r="C98" s="3">
        <f t="shared" si="3"/>
        <v>-7.1662412733491448E-3</v>
      </c>
      <c r="D98">
        <f>MONTH(tbl_SP500_Clean[[#This Row],[observation_date]])</f>
        <v>2</v>
      </c>
      <c r="E98" t="str">
        <f t="shared" si="4"/>
        <v>No</v>
      </c>
    </row>
    <row r="99" spans="1:5" hidden="1" x14ac:dyDescent="0.25">
      <c r="A99" s="1">
        <v>44613</v>
      </c>
      <c r="C99">
        <f t="shared" si="3"/>
        <v>-1</v>
      </c>
      <c r="D99">
        <f>MONTH(tbl_SP500_Clean[[#This Row],[observation_date]])</f>
        <v>2</v>
      </c>
      <c r="E99" t="str">
        <f t="shared" si="4"/>
        <v>No</v>
      </c>
    </row>
    <row r="100" spans="1:5" hidden="1" x14ac:dyDescent="0.25">
      <c r="A100" s="1">
        <v>44614</v>
      </c>
      <c r="B100">
        <v>4304.76</v>
      </c>
      <c r="C100" s="3" t="e">
        <f t="shared" si="3"/>
        <v>#DIV/0!</v>
      </c>
      <c r="D100">
        <f>MONTH(tbl_SP500_Clean[[#This Row],[observation_date]])</f>
        <v>2</v>
      </c>
      <c r="E100" t="str">
        <f t="shared" si="4"/>
        <v>No</v>
      </c>
    </row>
    <row r="101" spans="1:5" hidden="1" x14ac:dyDescent="0.25">
      <c r="A101" s="1">
        <v>44615</v>
      </c>
      <c r="B101">
        <v>4225.5</v>
      </c>
      <c r="C101" s="3">
        <f t="shared" si="3"/>
        <v>-1.8412176288573629E-2</v>
      </c>
      <c r="D101">
        <f>MONTH(tbl_SP500_Clean[[#This Row],[observation_date]])</f>
        <v>2</v>
      </c>
      <c r="E101" t="str">
        <f t="shared" si="4"/>
        <v>No</v>
      </c>
    </row>
    <row r="102" spans="1:5" hidden="1" x14ac:dyDescent="0.25">
      <c r="A102" s="1">
        <v>44616</v>
      </c>
      <c r="B102">
        <v>4288.7</v>
      </c>
      <c r="C102" s="3">
        <f t="shared" si="3"/>
        <v>1.4956809844988716E-2</v>
      </c>
      <c r="D102">
        <f>MONTH(tbl_SP500_Clean[[#This Row],[observation_date]])</f>
        <v>2</v>
      </c>
      <c r="E102" t="str">
        <f t="shared" si="4"/>
        <v>No</v>
      </c>
    </row>
    <row r="103" spans="1:5" hidden="1" x14ac:dyDescent="0.25">
      <c r="A103" s="1">
        <v>44617</v>
      </c>
      <c r="B103">
        <v>4384.6499999999996</v>
      </c>
      <c r="C103" s="3">
        <f t="shared" si="3"/>
        <v>2.2372746986266193E-2</v>
      </c>
      <c r="D103">
        <f>MONTH(tbl_SP500_Clean[[#This Row],[observation_date]])</f>
        <v>2</v>
      </c>
      <c r="E103" t="str">
        <f t="shared" si="4"/>
        <v>No</v>
      </c>
    </row>
    <row r="104" spans="1:5" x14ac:dyDescent="0.25">
      <c r="A104" s="1">
        <v>44620</v>
      </c>
      <c r="B104">
        <v>4373.9399999999996</v>
      </c>
      <c r="C104" s="3">
        <f t="shared" si="3"/>
        <v>-2.4426122951660993E-3</v>
      </c>
      <c r="D104">
        <f>MONTH(tbl_SP500_Clean[[#This Row],[observation_date]])</f>
        <v>2</v>
      </c>
      <c r="E104" t="str">
        <f t="shared" si="4"/>
        <v>Yes</v>
      </c>
    </row>
    <row r="105" spans="1:5" hidden="1" x14ac:dyDescent="0.25">
      <c r="A105" s="1">
        <v>44621</v>
      </c>
      <c r="B105">
        <v>4306.26</v>
      </c>
      <c r="C105" s="3">
        <f t="shared" si="3"/>
        <v>-1.5473463284818582E-2</v>
      </c>
      <c r="D105">
        <f>MONTH(tbl_SP500_Clean[[#This Row],[observation_date]])</f>
        <v>3</v>
      </c>
      <c r="E105" t="str">
        <f t="shared" si="4"/>
        <v>No</v>
      </c>
    </row>
    <row r="106" spans="1:5" hidden="1" x14ac:dyDescent="0.25">
      <c r="A106" s="1">
        <v>44622</v>
      </c>
      <c r="B106">
        <v>4386.54</v>
      </c>
      <c r="C106" s="3">
        <f t="shared" si="3"/>
        <v>1.864262724498747E-2</v>
      </c>
      <c r="D106">
        <f>MONTH(tbl_SP500_Clean[[#This Row],[observation_date]])</f>
        <v>3</v>
      </c>
      <c r="E106" t="str">
        <f t="shared" si="4"/>
        <v>No</v>
      </c>
    </row>
    <row r="107" spans="1:5" hidden="1" x14ac:dyDescent="0.25">
      <c r="A107" s="1">
        <v>44623</v>
      </c>
      <c r="B107">
        <v>4363.49</v>
      </c>
      <c r="C107" s="3">
        <f t="shared" si="3"/>
        <v>-5.2547110022934211E-3</v>
      </c>
      <c r="D107">
        <f>MONTH(tbl_SP500_Clean[[#This Row],[observation_date]])</f>
        <v>3</v>
      </c>
      <c r="E107" t="str">
        <f t="shared" si="4"/>
        <v>No</v>
      </c>
    </row>
    <row r="108" spans="1:5" hidden="1" x14ac:dyDescent="0.25">
      <c r="A108" s="1">
        <v>44624</v>
      </c>
      <c r="B108">
        <v>4328.87</v>
      </c>
      <c r="C108" s="3">
        <f t="shared" si="3"/>
        <v>-7.9340161201240048E-3</v>
      </c>
      <c r="D108">
        <f>MONTH(tbl_SP500_Clean[[#This Row],[observation_date]])</f>
        <v>3</v>
      </c>
      <c r="E108" t="str">
        <f t="shared" si="4"/>
        <v>No</v>
      </c>
    </row>
    <row r="109" spans="1:5" hidden="1" x14ac:dyDescent="0.25">
      <c r="A109" s="1">
        <v>44627</v>
      </c>
      <c r="B109">
        <v>4201.09</v>
      </c>
      <c r="C109" s="3">
        <f t="shared" si="3"/>
        <v>-2.9518095946517161E-2</v>
      </c>
      <c r="D109">
        <f>MONTH(tbl_SP500_Clean[[#This Row],[observation_date]])</f>
        <v>3</v>
      </c>
      <c r="E109" t="str">
        <f t="shared" si="4"/>
        <v>No</v>
      </c>
    </row>
    <row r="110" spans="1:5" hidden="1" x14ac:dyDescent="0.25">
      <c r="A110" s="1">
        <v>44628</v>
      </c>
      <c r="B110">
        <v>4170.7</v>
      </c>
      <c r="C110" s="3">
        <f t="shared" si="3"/>
        <v>-7.2338369327960899E-3</v>
      </c>
      <c r="D110">
        <f>MONTH(tbl_SP500_Clean[[#This Row],[observation_date]])</f>
        <v>3</v>
      </c>
      <c r="E110" t="str">
        <f t="shared" si="4"/>
        <v>No</v>
      </c>
    </row>
    <row r="111" spans="1:5" hidden="1" x14ac:dyDescent="0.25">
      <c r="A111" s="1">
        <v>44629</v>
      </c>
      <c r="B111">
        <v>4277.88</v>
      </c>
      <c r="C111" s="3">
        <f t="shared" si="3"/>
        <v>2.5698324022346439E-2</v>
      </c>
      <c r="D111">
        <f>MONTH(tbl_SP500_Clean[[#This Row],[observation_date]])</f>
        <v>3</v>
      </c>
      <c r="E111" t="str">
        <f t="shared" si="4"/>
        <v>No</v>
      </c>
    </row>
    <row r="112" spans="1:5" hidden="1" x14ac:dyDescent="0.25">
      <c r="A112" s="1">
        <v>44630</v>
      </c>
      <c r="B112">
        <v>4259.5200000000004</v>
      </c>
      <c r="C112" s="3">
        <f t="shared" si="3"/>
        <v>-4.2918454935621554E-3</v>
      </c>
      <c r="D112">
        <f>MONTH(tbl_SP500_Clean[[#This Row],[observation_date]])</f>
        <v>3</v>
      </c>
      <c r="E112" t="str">
        <f t="shared" si="4"/>
        <v>No</v>
      </c>
    </row>
    <row r="113" spans="1:5" hidden="1" x14ac:dyDescent="0.25">
      <c r="A113" s="1">
        <v>44631</v>
      </c>
      <c r="B113">
        <v>4204.3100000000004</v>
      </c>
      <c r="C113" s="3">
        <f t="shared" si="3"/>
        <v>-1.296155435354219E-2</v>
      </c>
      <c r="D113">
        <f>MONTH(tbl_SP500_Clean[[#This Row],[observation_date]])</f>
        <v>3</v>
      </c>
      <c r="E113" t="str">
        <f t="shared" si="4"/>
        <v>No</v>
      </c>
    </row>
    <row r="114" spans="1:5" hidden="1" x14ac:dyDescent="0.25">
      <c r="A114" s="1">
        <v>44634</v>
      </c>
      <c r="B114">
        <v>4173.1099999999997</v>
      </c>
      <c r="C114" s="3">
        <f t="shared" si="3"/>
        <v>-7.4209561140831017E-3</v>
      </c>
      <c r="D114">
        <f>MONTH(tbl_SP500_Clean[[#This Row],[observation_date]])</f>
        <v>3</v>
      </c>
      <c r="E114" t="str">
        <f t="shared" si="4"/>
        <v>No</v>
      </c>
    </row>
    <row r="115" spans="1:5" hidden="1" x14ac:dyDescent="0.25">
      <c r="A115" s="1">
        <v>44635</v>
      </c>
      <c r="B115">
        <v>4262.45</v>
      </c>
      <c r="C115" s="3">
        <f t="shared" si="3"/>
        <v>2.1408493905025305E-2</v>
      </c>
      <c r="D115">
        <f>MONTH(tbl_SP500_Clean[[#This Row],[observation_date]])</f>
        <v>3</v>
      </c>
      <c r="E115" t="str">
        <f t="shared" si="4"/>
        <v>No</v>
      </c>
    </row>
    <row r="116" spans="1:5" hidden="1" x14ac:dyDescent="0.25">
      <c r="A116" s="1">
        <v>44636</v>
      </c>
      <c r="B116">
        <v>4357.8599999999997</v>
      </c>
      <c r="C116" s="3">
        <f t="shared" si="3"/>
        <v>2.2383840279651342E-2</v>
      </c>
      <c r="D116">
        <f>MONTH(tbl_SP500_Clean[[#This Row],[observation_date]])</f>
        <v>3</v>
      </c>
      <c r="E116" t="str">
        <f t="shared" si="4"/>
        <v>No</v>
      </c>
    </row>
    <row r="117" spans="1:5" hidden="1" x14ac:dyDescent="0.25">
      <c r="A117" s="1">
        <v>44637</v>
      </c>
      <c r="B117">
        <v>4411.67</v>
      </c>
      <c r="C117" s="3">
        <f t="shared" si="3"/>
        <v>1.2347803738532307E-2</v>
      </c>
      <c r="D117">
        <f>MONTH(tbl_SP500_Clean[[#This Row],[observation_date]])</f>
        <v>3</v>
      </c>
      <c r="E117" t="str">
        <f t="shared" si="4"/>
        <v>No</v>
      </c>
    </row>
    <row r="118" spans="1:5" hidden="1" x14ac:dyDescent="0.25">
      <c r="A118" s="1">
        <v>44638</v>
      </c>
      <c r="B118">
        <v>4463.12</v>
      </c>
      <c r="C118" s="3">
        <f t="shared" si="3"/>
        <v>1.1662250349640798E-2</v>
      </c>
      <c r="D118">
        <f>MONTH(tbl_SP500_Clean[[#This Row],[observation_date]])</f>
        <v>3</v>
      </c>
      <c r="E118" t="str">
        <f t="shared" si="4"/>
        <v>No</v>
      </c>
    </row>
    <row r="119" spans="1:5" hidden="1" x14ac:dyDescent="0.25">
      <c r="A119" s="1">
        <v>44641</v>
      </c>
      <c r="B119">
        <v>4461.18</v>
      </c>
      <c r="C119" s="3">
        <f t="shared" si="3"/>
        <v>-4.3467350194473816E-4</v>
      </c>
      <c r="D119">
        <f>MONTH(tbl_SP500_Clean[[#This Row],[observation_date]])</f>
        <v>3</v>
      </c>
      <c r="E119" t="str">
        <f t="shared" si="4"/>
        <v>No</v>
      </c>
    </row>
    <row r="120" spans="1:5" hidden="1" x14ac:dyDescent="0.25">
      <c r="A120" s="1">
        <v>44642</v>
      </c>
      <c r="B120">
        <v>4511.6099999999997</v>
      </c>
      <c r="C120" s="3">
        <f t="shared" si="3"/>
        <v>1.1304184094790925E-2</v>
      </c>
      <c r="D120">
        <f>MONTH(tbl_SP500_Clean[[#This Row],[observation_date]])</f>
        <v>3</v>
      </c>
      <c r="E120" t="str">
        <f t="shared" si="4"/>
        <v>No</v>
      </c>
    </row>
    <row r="121" spans="1:5" hidden="1" x14ac:dyDescent="0.25">
      <c r="A121" s="1">
        <v>44643</v>
      </c>
      <c r="B121">
        <v>4456.24</v>
      </c>
      <c r="C121" s="3">
        <f t="shared" si="3"/>
        <v>-1.2272780670315009E-2</v>
      </c>
      <c r="D121">
        <f>MONTH(tbl_SP500_Clean[[#This Row],[observation_date]])</f>
        <v>3</v>
      </c>
      <c r="E121" t="str">
        <f t="shared" si="4"/>
        <v>No</v>
      </c>
    </row>
    <row r="122" spans="1:5" hidden="1" x14ac:dyDescent="0.25">
      <c r="A122" s="1">
        <v>44644</v>
      </c>
      <c r="B122">
        <v>4520.16</v>
      </c>
      <c r="C122" s="3">
        <f t="shared" si="3"/>
        <v>1.4343931206577759E-2</v>
      </c>
      <c r="D122">
        <f>MONTH(tbl_SP500_Clean[[#This Row],[observation_date]])</f>
        <v>3</v>
      </c>
      <c r="E122" t="str">
        <f t="shared" si="4"/>
        <v>No</v>
      </c>
    </row>
    <row r="123" spans="1:5" hidden="1" x14ac:dyDescent="0.25">
      <c r="A123" s="1">
        <v>44645</v>
      </c>
      <c r="B123">
        <v>4543.0600000000004</v>
      </c>
      <c r="C123" s="3">
        <f t="shared" si="3"/>
        <v>5.0661923471736724E-3</v>
      </c>
      <c r="D123">
        <f>MONTH(tbl_SP500_Clean[[#This Row],[observation_date]])</f>
        <v>3</v>
      </c>
      <c r="E123" t="str">
        <f t="shared" si="4"/>
        <v>No</v>
      </c>
    </row>
    <row r="124" spans="1:5" hidden="1" x14ac:dyDescent="0.25">
      <c r="A124" s="1">
        <v>44648</v>
      </c>
      <c r="B124">
        <v>4575.5200000000004</v>
      </c>
      <c r="C124" s="3">
        <f t="shared" si="3"/>
        <v>7.144963967017832E-3</v>
      </c>
      <c r="D124">
        <f>MONTH(tbl_SP500_Clean[[#This Row],[observation_date]])</f>
        <v>3</v>
      </c>
      <c r="E124" t="str">
        <f t="shared" si="4"/>
        <v>No</v>
      </c>
    </row>
    <row r="125" spans="1:5" hidden="1" x14ac:dyDescent="0.25">
      <c r="A125" s="1">
        <v>44649</v>
      </c>
      <c r="B125">
        <v>4631.6000000000004</v>
      </c>
      <c r="C125" s="3">
        <f t="shared" si="3"/>
        <v>1.2256530405287252E-2</v>
      </c>
      <c r="D125">
        <f>MONTH(tbl_SP500_Clean[[#This Row],[observation_date]])</f>
        <v>3</v>
      </c>
      <c r="E125" t="str">
        <f t="shared" si="4"/>
        <v>No</v>
      </c>
    </row>
    <row r="126" spans="1:5" hidden="1" x14ac:dyDescent="0.25">
      <c r="A126" s="1">
        <v>44650</v>
      </c>
      <c r="B126">
        <v>4602.45</v>
      </c>
      <c r="C126" s="3">
        <f t="shared" si="3"/>
        <v>-6.2937213921756075E-3</v>
      </c>
      <c r="D126">
        <f>MONTH(tbl_SP500_Clean[[#This Row],[observation_date]])</f>
        <v>3</v>
      </c>
      <c r="E126" t="str">
        <f t="shared" si="4"/>
        <v>No</v>
      </c>
    </row>
    <row r="127" spans="1:5" x14ac:dyDescent="0.25">
      <c r="A127" s="1">
        <v>44651</v>
      </c>
      <c r="B127">
        <v>4530.41</v>
      </c>
      <c r="C127" s="3">
        <f t="shared" si="3"/>
        <v>-1.565253289009114E-2</v>
      </c>
      <c r="D127">
        <f>MONTH(tbl_SP500_Clean[[#This Row],[observation_date]])</f>
        <v>3</v>
      </c>
      <c r="E127" t="str">
        <f t="shared" si="4"/>
        <v>Yes</v>
      </c>
    </row>
    <row r="128" spans="1:5" hidden="1" x14ac:dyDescent="0.25">
      <c r="A128" s="1">
        <v>44652</v>
      </c>
      <c r="B128">
        <v>4545.8599999999997</v>
      </c>
      <c r="C128" s="3">
        <f t="shared" si="3"/>
        <v>3.4102873691343209E-3</v>
      </c>
      <c r="D128">
        <f>MONTH(tbl_SP500_Clean[[#This Row],[observation_date]])</f>
        <v>4</v>
      </c>
      <c r="E128" t="str">
        <f t="shared" si="4"/>
        <v>No</v>
      </c>
    </row>
    <row r="129" spans="1:5" hidden="1" x14ac:dyDescent="0.25">
      <c r="A129" s="1">
        <v>44655</v>
      </c>
      <c r="B129">
        <v>4582.6400000000003</v>
      </c>
      <c r="C129" s="3">
        <f t="shared" si="3"/>
        <v>8.0908782936563502E-3</v>
      </c>
      <c r="D129">
        <f>MONTH(tbl_SP500_Clean[[#This Row],[observation_date]])</f>
        <v>4</v>
      </c>
      <c r="E129" t="str">
        <f t="shared" si="4"/>
        <v>No</v>
      </c>
    </row>
    <row r="130" spans="1:5" hidden="1" x14ac:dyDescent="0.25">
      <c r="A130" s="1">
        <v>44656</v>
      </c>
      <c r="B130">
        <v>4525.12</v>
      </c>
      <c r="C130" s="3">
        <f t="shared" ref="C130:C193" si="5">(B130-B129)/B129</f>
        <v>-1.2551716914267853E-2</v>
      </c>
      <c r="D130">
        <f>MONTH(tbl_SP500_Clean[[#This Row],[observation_date]])</f>
        <v>4</v>
      </c>
      <c r="E130" t="str">
        <f t="shared" ref="E130:E193" si="6">IF(D130&lt;&gt;D131,"Yes","No")</f>
        <v>No</v>
      </c>
    </row>
    <row r="131" spans="1:5" hidden="1" x14ac:dyDescent="0.25">
      <c r="A131" s="1">
        <v>44657</v>
      </c>
      <c r="B131">
        <v>4481.1499999999996</v>
      </c>
      <c r="C131" s="3">
        <f t="shared" si="5"/>
        <v>-9.7168693868892441E-3</v>
      </c>
      <c r="D131">
        <f>MONTH(tbl_SP500_Clean[[#This Row],[observation_date]])</f>
        <v>4</v>
      </c>
      <c r="E131" t="str">
        <f t="shared" si="6"/>
        <v>No</v>
      </c>
    </row>
    <row r="132" spans="1:5" hidden="1" x14ac:dyDescent="0.25">
      <c r="A132" s="1">
        <v>44658</v>
      </c>
      <c r="B132">
        <v>4500.21</v>
      </c>
      <c r="C132" s="3">
        <f t="shared" si="5"/>
        <v>4.253372460194459E-3</v>
      </c>
      <c r="D132">
        <f>MONTH(tbl_SP500_Clean[[#This Row],[observation_date]])</f>
        <v>4</v>
      </c>
      <c r="E132" t="str">
        <f t="shared" si="6"/>
        <v>No</v>
      </c>
    </row>
    <row r="133" spans="1:5" hidden="1" x14ac:dyDescent="0.25">
      <c r="A133" s="1">
        <v>44659</v>
      </c>
      <c r="B133">
        <v>4488.28</v>
      </c>
      <c r="C133" s="3">
        <f t="shared" si="5"/>
        <v>-2.6509873983659189E-3</v>
      </c>
      <c r="D133">
        <f>MONTH(tbl_SP500_Clean[[#This Row],[observation_date]])</f>
        <v>4</v>
      </c>
      <c r="E133" t="str">
        <f t="shared" si="6"/>
        <v>No</v>
      </c>
    </row>
    <row r="134" spans="1:5" hidden="1" x14ac:dyDescent="0.25">
      <c r="A134" s="1">
        <v>44662</v>
      </c>
      <c r="B134">
        <v>4412.53</v>
      </c>
      <c r="C134" s="3">
        <f t="shared" si="5"/>
        <v>-1.687728929567674E-2</v>
      </c>
      <c r="D134">
        <f>MONTH(tbl_SP500_Clean[[#This Row],[observation_date]])</f>
        <v>4</v>
      </c>
      <c r="E134" t="str">
        <f t="shared" si="6"/>
        <v>No</v>
      </c>
    </row>
    <row r="135" spans="1:5" hidden="1" x14ac:dyDescent="0.25">
      <c r="A135" s="1">
        <v>44663</v>
      </c>
      <c r="B135">
        <v>4397.45</v>
      </c>
      <c r="C135" s="3">
        <f t="shared" si="5"/>
        <v>-3.4175405039738945E-3</v>
      </c>
      <c r="D135">
        <f>MONTH(tbl_SP500_Clean[[#This Row],[observation_date]])</f>
        <v>4</v>
      </c>
      <c r="E135" t="str">
        <f t="shared" si="6"/>
        <v>No</v>
      </c>
    </row>
    <row r="136" spans="1:5" hidden="1" x14ac:dyDescent="0.25">
      <c r="A136" s="1">
        <v>44664</v>
      </c>
      <c r="B136">
        <v>4446.59</v>
      </c>
      <c r="C136" s="3">
        <f t="shared" si="5"/>
        <v>1.1174658040455339E-2</v>
      </c>
      <c r="D136">
        <f>MONTH(tbl_SP500_Clean[[#This Row],[observation_date]])</f>
        <v>4</v>
      </c>
      <c r="E136" t="str">
        <f t="shared" si="6"/>
        <v>No</v>
      </c>
    </row>
    <row r="137" spans="1:5" hidden="1" x14ac:dyDescent="0.25">
      <c r="A137" s="1">
        <v>44665</v>
      </c>
      <c r="B137">
        <v>4392.59</v>
      </c>
      <c r="C137" s="3">
        <f t="shared" si="5"/>
        <v>-1.2144137417661623E-2</v>
      </c>
      <c r="D137">
        <f>MONTH(tbl_SP500_Clean[[#This Row],[observation_date]])</f>
        <v>4</v>
      </c>
      <c r="E137" t="str">
        <f t="shared" si="6"/>
        <v>No</v>
      </c>
    </row>
    <row r="138" spans="1:5" hidden="1" x14ac:dyDescent="0.25">
      <c r="A138" s="1">
        <v>44666</v>
      </c>
      <c r="C138">
        <f t="shared" si="5"/>
        <v>-1</v>
      </c>
      <c r="D138">
        <f>MONTH(tbl_SP500_Clean[[#This Row],[observation_date]])</f>
        <v>4</v>
      </c>
      <c r="E138" t="str">
        <f t="shared" si="6"/>
        <v>No</v>
      </c>
    </row>
    <row r="139" spans="1:5" hidden="1" x14ac:dyDescent="0.25">
      <c r="A139" s="1">
        <v>44669</v>
      </c>
      <c r="B139">
        <v>4391.6899999999996</v>
      </c>
      <c r="C139" s="3" t="e">
        <f t="shared" si="5"/>
        <v>#DIV/0!</v>
      </c>
      <c r="D139">
        <f>MONTH(tbl_SP500_Clean[[#This Row],[observation_date]])</f>
        <v>4</v>
      </c>
      <c r="E139" t="str">
        <f t="shared" si="6"/>
        <v>No</v>
      </c>
    </row>
    <row r="140" spans="1:5" hidden="1" x14ac:dyDescent="0.25">
      <c r="A140" s="1">
        <v>44670</v>
      </c>
      <c r="B140">
        <v>4462.21</v>
      </c>
      <c r="C140" s="3">
        <f t="shared" si="5"/>
        <v>1.605759969396757E-2</v>
      </c>
      <c r="D140">
        <f>MONTH(tbl_SP500_Clean[[#This Row],[observation_date]])</f>
        <v>4</v>
      </c>
      <c r="E140" t="str">
        <f t="shared" si="6"/>
        <v>No</v>
      </c>
    </row>
    <row r="141" spans="1:5" hidden="1" x14ac:dyDescent="0.25">
      <c r="A141" s="1">
        <v>44671</v>
      </c>
      <c r="B141">
        <v>4459.45</v>
      </c>
      <c r="C141" s="3">
        <f t="shared" si="5"/>
        <v>-6.1852759058856894E-4</v>
      </c>
      <c r="D141">
        <f>MONTH(tbl_SP500_Clean[[#This Row],[observation_date]])</f>
        <v>4</v>
      </c>
      <c r="E141" t="str">
        <f t="shared" si="6"/>
        <v>No</v>
      </c>
    </row>
    <row r="142" spans="1:5" hidden="1" x14ac:dyDescent="0.25">
      <c r="A142" s="1">
        <v>44672</v>
      </c>
      <c r="B142">
        <v>4393.66</v>
      </c>
      <c r="C142" s="3">
        <f t="shared" si="5"/>
        <v>-1.4752940385025051E-2</v>
      </c>
      <c r="D142">
        <f>MONTH(tbl_SP500_Clean[[#This Row],[observation_date]])</f>
        <v>4</v>
      </c>
      <c r="E142" t="str">
        <f t="shared" si="6"/>
        <v>No</v>
      </c>
    </row>
    <row r="143" spans="1:5" hidden="1" x14ac:dyDescent="0.25">
      <c r="A143" s="1">
        <v>44673</v>
      </c>
      <c r="B143">
        <v>4271.78</v>
      </c>
      <c r="C143" s="3">
        <f t="shared" si="5"/>
        <v>-2.7739970776072823E-2</v>
      </c>
      <c r="D143">
        <f>MONTH(tbl_SP500_Clean[[#This Row],[observation_date]])</f>
        <v>4</v>
      </c>
      <c r="E143" t="str">
        <f t="shared" si="6"/>
        <v>No</v>
      </c>
    </row>
    <row r="144" spans="1:5" hidden="1" x14ac:dyDescent="0.25">
      <c r="A144" s="1">
        <v>44676</v>
      </c>
      <c r="B144">
        <v>4296.12</v>
      </c>
      <c r="C144" s="3">
        <f t="shared" si="5"/>
        <v>5.6978589721381123E-3</v>
      </c>
      <c r="D144">
        <f>MONTH(tbl_SP500_Clean[[#This Row],[observation_date]])</f>
        <v>4</v>
      </c>
      <c r="E144" t="str">
        <f t="shared" si="6"/>
        <v>No</v>
      </c>
    </row>
    <row r="145" spans="1:5" hidden="1" x14ac:dyDescent="0.25">
      <c r="A145" s="1">
        <v>44677</v>
      </c>
      <c r="B145">
        <v>4175.2</v>
      </c>
      <c r="C145" s="3">
        <f t="shared" si="5"/>
        <v>-2.8146327383778869E-2</v>
      </c>
      <c r="D145">
        <f>MONTH(tbl_SP500_Clean[[#This Row],[observation_date]])</f>
        <v>4</v>
      </c>
      <c r="E145" t="str">
        <f t="shared" si="6"/>
        <v>No</v>
      </c>
    </row>
    <row r="146" spans="1:5" hidden="1" x14ac:dyDescent="0.25">
      <c r="A146" s="1">
        <v>44678</v>
      </c>
      <c r="B146">
        <v>4183.96</v>
      </c>
      <c r="C146" s="3">
        <f t="shared" si="5"/>
        <v>2.0981030848822137E-3</v>
      </c>
      <c r="D146">
        <f>MONTH(tbl_SP500_Clean[[#This Row],[observation_date]])</f>
        <v>4</v>
      </c>
      <c r="E146" t="str">
        <f t="shared" si="6"/>
        <v>No</v>
      </c>
    </row>
    <row r="147" spans="1:5" hidden="1" x14ac:dyDescent="0.25">
      <c r="A147" s="1">
        <v>44679</v>
      </c>
      <c r="B147">
        <v>4287.5</v>
      </c>
      <c r="C147" s="3">
        <f t="shared" si="5"/>
        <v>2.4746890505645359E-2</v>
      </c>
      <c r="D147">
        <f>MONTH(tbl_SP500_Clean[[#This Row],[observation_date]])</f>
        <v>4</v>
      </c>
      <c r="E147" t="str">
        <f t="shared" si="6"/>
        <v>No</v>
      </c>
    </row>
    <row r="148" spans="1:5" x14ac:dyDescent="0.25">
      <c r="A148" s="1">
        <v>44680</v>
      </c>
      <c r="B148">
        <v>4131.93</v>
      </c>
      <c r="C148" s="3">
        <f t="shared" si="5"/>
        <v>-3.6284548104956203E-2</v>
      </c>
      <c r="D148">
        <f>MONTH(tbl_SP500_Clean[[#This Row],[observation_date]])</f>
        <v>4</v>
      </c>
      <c r="E148" t="str">
        <f t="shared" si="6"/>
        <v>Yes</v>
      </c>
    </row>
    <row r="149" spans="1:5" hidden="1" x14ac:dyDescent="0.25">
      <c r="A149" s="1">
        <v>44683</v>
      </c>
      <c r="B149">
        <v>4155.38</v>
      </c>
      <c r="C149" s="3">
        <f t="shared" si="5"/>
        <v>5.6753139574000086E-3</v>
      </c>
      <c r="D149">
        <f>MONTH(tbl_SP500_Clean[[#This Row],[observation_date]])</f>
        <v>5</v>
      </c>
      <c r="E149" t="str">
        <f t="shared" si="6"/>
        <v>No</v>
      </c>
    </row>
    <row r="150" spans="1:5" hidden="1" x14ac:dyDescent="0.25">
      <c r="A150" s="1">
        <v>44684</v>
      </c>
      <c r="B150">
        <v>4175.4799999999996</v>
      </c>
      <c r="C150" s="3">
        <f t="shared" si="5"/>
        <v>4.8371027439125793E-3</v>
      </c>
      <c r="D150">
        <f>MONTH(tbl_SP500_Clean[[#This Row],[observation_date]])</f>
        <v>5</v>
      </c>
      <c r="E150" t="str">
        <f t="shared" si="6"/>
        <v>No</v>
      </c>
    </row>
    <row r="151" spans="1:5" hidden="1" x14ac:dyDescent="0.25">
      <c r="A151" s="1">
        <v>44685</v>
      </c>
      <c r="B151">
        <v>4300.17</v>
      </c>
      <c r="C151" s="3">
        <f t="shared" si="5"/>
        <v>2.9862434977535643E-2</v>
      </c>
      <c r="D151">
        <f>MONTH(tbl_SP500_Clean[[#This Row],[observation_date]])</f>
        <v>5</v>
      </c>
      <c r="E151" t="str">
        <f t="shared" si="6"/>
        <v>No</v>
      </c>
    </row>
    <row r="152" spans="1:5" hidden="1" x14ac:dyDescent="0.25">
      <c r="A152" s="1">
        <v>44686</v>
      </c>
      <c r="B152">
        <v>4146.87</v>
      </c>
      <c r="C152" s="3">
        <f t="shared" si="5"/>
        <v>-3.5649753381843084E-2</v>
      </c>
      <c r="D152">
        <f>MONTH(tbl_SP500_Clean[[#This Row],[observation_date]])</f>
        <v>5</v>
      </c>
      <c r="E152" t="str">
        <f t="shared" si="6"/>
        <v>No</v>
      </c>
    </row>
    <row r="153" spans="1:5" hidden="1" x14ac:dyDescent="0.25">
      <c r="A153" s="1">
        <v>44687</v>
      </c>
      <c r="B153">
        <v>4123.34</v>
      </c>
      <c r="C153" s="3">
        <f t="shared" si="5"/>
        <v>-5.6741590645474167E-3</v>
      </c>
      <c r="D153">
        <f>MONTH(tbl_SP500_Clean[[#This Row],[observation_date]])</f>
        <v>5</v>
      </c>
      <c r="E153" t="str">
        <f t="shared" si="6"/>
        <v>No</v>
      </c>
    </row>
    <row r="154" spans="1:5" hidden="1" x14ac:dyDescent="0.25">
      <c r="A154" s="1">
        <v>44690</v>
      </c>
      <c r="B154">
        <v>3991.24</v>
      </c>
      <c r="C154" s="3">
        <f t="shared" si="5"/>
        <v>-3.2037134944001795E-2</v>
      </c>
      <c r="D154">
        <f>MONTH(tbl_SP500_Clean[[#This Row],[observation_date]])</f>
        <v>5</v>
      </c>
      <c r="E154" t="str">
        <f t="shared" si="6"/>
        <v>No</v>
      </c>
    </row>
    <row r="155" spans="1:5" hidden="1" x14ac:dyDescent="0.25">
      <c r="A155" s="1">
        <v>44691</v>
      </c>
      <c r="B155">
        <v>4001.05</v>
      </c>
      <c r="C155" s="3">
        <f t="shared" si="5"/>
        <v>2.4578827632516214E-3</v>
      </c>
      <c r="D155">
        <f>MONTH(tbl_SP500_Clean[[#This Row],[observation_date]])</f>
        <v>5</v>
      </c>
      <c r="E155" t="str">
        <f t="shared" si="6"/>
        <v>No</v>
      </c>
    </row>
    <row r="156" spans="1:5" hidden="1" x14ac:dyDescent="0.25">
      <c r="A156" s="1">
        <v>44692</v>
      </c>
      <c r="B156">
        <v>3935.18</v>
      </c>
      <c r="C156" s="3">
        <f t="shared" si="5"/>
        <v>-1.6463178415665972E-2</v>
      </c>
      <c r="D156">
        <f>MONTH(tbl_SP500_Clean[[#This Row],[observation_date]])</f>
        <v>5</v>
      </c>
      <c r="E156" t="str">
        <f t="shared" si="6"/>
        <v>No</v>
      </c>
    </row>
    <row r="157" spans="1:5" hidden="1" x14ac:dyDescent="0.25">
      <c r="A157" s="1">
        <v>44693</v>
      </c>
      <c r="B157">
        <v>3930.08</v>
      </c>
      <c r="C157" s="3">
        <f t="shared" si="5"/>
        <v>-1.2960017076728153E-3</v>
      </c>
      <c r="D157">
        <f>MONTH(tbl_SP500_Clean[[#This Row],[observation_date]])</f>
        <v>5</v>
      </c>
      <c r="E157" t="str">
        <f t="shared" si="6"/>
        <v>No</v>
      </c>
    </row>
    <row r="158" spans="1:5" hidden="1" x14ac:dyDescent="0.25">
      <c r="A158" s="1">
        <v>44694</v>
      </c>
      <c r="B158">
        <v>4023.89</v>
      </c>
      <c r="C158" s="3">
        <f t="shared" si="5"/>
        <v>2.386974310955501E-2</v>
      </c>
      <c r="D158">
        <f>MONTH(tbl_SP500_Clean[[#This Row],[observation_date]])</f>
        <v>5</v>
      </c>
      <c r="E158" t="str">
        <f t="shared" si="6"/>
        <v>No</v>
      </c>
    </row>
    <row r="159" spans="1:5" hidden="1" x14ac:dyDescent="0.25">
      <c r="A159" s="1">
        <v>44697</v>
      </c>
      <c r="B159">
        <v>4008.01</v>
      </c>
      <c r="C159" s="3">
        <f t="shared" si="5"/>
        <v>-3.9464299471406164E-3</v>
      </c>
      <c r="D159">
        <f>MONTH(tbl_SP500_Clean[[#This Row],[observation_date]])</f>
        <v>5</v>
      </c>
      <c r="E159" t="str">
        <f t="shared" si="6"/>
        <v>No</v>
      </c>
    </row>
    <row r="160" spans="1:5" hidden="1" x14ac:dyDescent="0.25">
      <c r="A160" s="1">
        <v>44698</v>
      </c>
      <c r="B160">
        <v>4088.85</v>
      </c>
      <c r="C160" s="3">
        <f t="shared" si="5"/>
        <v>2.0169610355263507E-2</v>
      </c>
      <c r="D160">
        <f>MONTH(tbl_SP500_Clean[[#This Row],[observation_date]])</f>
        <v>5</v>
      </c>
      <c r="E160" t="str">
        <f t="shared" si="6"/>
        <v>No</v>
      </c>
    </row>
    <row r="161" spans="1:5" hidden="1" x14ac:dyDescent="0.25">
      <c r="A161" s="1">
        <v>44699</v>
      </c>
      <c r="B161">
        <v>3923.68</v>
      </c>
      <c r="C161" s="3">
        <f t="shared" si="5"/>
        <v>-4.0395221150201173E-2</v>
      </c>
      <c r="D161">
        <f>MONTH(tbl_SP500_Clean[[#This Row],[observation_date]])</f>
        <v>5</v>
      </c>
      <c r="E161" t="str">
        <f t="shared" si="6"/>
        <v>No</v>
      </c>
    </row>
    <row r="162" spans="1:5" hidden="1" x14ac:dyDescent="0.25">
      <c r="A162" s="1">
        <v>44700</v>
      </c>
      <c r="B162">
        <v>3900.79</v>
      </c>
      <c r="C162" s="3">
        <f t="shared" si="5"/>
        <v>-5.8338090771928074E-3</v>
      </c>
      <c r="D162">
        <f>MONTH(tbl_SP500_Clean[[#This Row],[observation_date]])</f>
        <v>5</v>
      </c>
      <c r="E162" t="str">
        <f t="shared" si="6"/>
        <v>No</v>
      </c>
    </row>
    <row r="163" spans="1:5" hidden="1" x14ac:dyDescent="0.25">
      <c r="A163" s="1">
        <v>44701</v>
      </c>
      <c r="B163">
        <v>3901.36</v>
      </c>
      <c r="C163" s="3">
        <f t="shared" si="5"/>
        <v>1.4612424662700728E-4</v>
      </c>
      <c r="D163">
        <f>MONTH(tbl_SP500_Clean[[#This Row],[observation_date]])</f>
        <v>5</v>
      </c>
      <c r="E163" t="str">
        <f t="shared" si="6"/>
        <v>No</v>
      </c>
    </row>
    <row r="164" spans="1:5" hidden="1" x14ac:dyDescent="0.25">
      <c r="A164" s="1">
        <v>44704</v>
      </c>
      <c r="B164">
        <v>3973.75</v>
      </c>
      <c r="C164" s="3">
        <f t="shared" si="5"/>
        <v>1.8555067976295414E-2</v>
      </c>
      <c r="D164">
        <f>MONTH(tbl_SP500_Clean[[#This Row],[observation_date]])</f>
        <v>5</v>
      </c>
      <c r="E164" t="str">
        <f t="shared" si="6"/>
        <v>No</v>
      </c>
    </row>
    <row r="165" spans="1:5" hidden="1" x14ac:dyDescent="0.25">
      <c r="A165" s="1">
        <v>44705</v>
      </c>
      <c r="B165">
        <v>3941.48</v>
      </c>
      <c r="C165" s="3">
        <f t="shared" si="5"/>
        <v>-8.1207927021075769E-3</v>
      </c>
      <c r="D165">
        <f>MONTH(tbl_SP500_Clean[[#This Row],[observation_date]])</f>
        <v>5</v>
      </c>
      <c r="E165" t="str">
        <f t="shared" si="6"/>
        <v>No</v>
      </c>
    </row>
    <row r="166" spans="1:5" hidden="1" x14ac:dyDescent="0.25">
      <c r="A166" s="1">
        <v>44706</v>
      </c>
      <c r="B166">
        <v>3978.73</v>
      </c>
      <c r="C166" s="3">
        <f t="shared" si="5"/>
        <v>9.450764687376316E-3</v>
      </c>
      <c r="D166">
        <f>MONTH(tbl_SP500_Clean[[#This Row],[observation_date]])</f>
        <v>5</v>
      </c>
      <c r="E166" t="str">
        <f t="shared" si="6"/>
        <v>No</v>
      </c>
    </row>
    <row r="167" spans="1:5" hidden="1" x14ac:dyDescent="0.25">
      <c r="A167" s="1">
        <v>44707</v>
      </c>
      <c r="B167">
        <v>4057.84</v>
      </c>
      <c r="C167" s="3">
        <f t="shared" si="5"/>
        <v>1.9883229070582858E-2</v>
      </c>
      <c r="D167">
        <f>MONTH(tbl_SP500_Clean[[#This Row],[observation_date]])</f>
        <v>5</v>
      </c>
      <c r="E167" t="str">
        <f t="shared" si="6"/>
        <v>No</v>
      </c>
    </row>
    <row r="168" spans="1:5" hidden="1" x14ac:dyDescent="0.25">
      <c r="A168" s="1">
        <v>44708</v>
      </c>
      <c r="B168">
        <v>4158.24</v>
      </c>
      <c r="C168" s="3">
        <f t="shared" si="5"/>
        <v>2.4742227391912848E-2</v>
      </c>
      <c r="D168">
        <f>MONTH(tbl_SP500_Clean[[#This Row],[observation_date]])</f>
        <v>5</v>
      </c>
      <c r="E168" t="str">
        <f t="shared" si="6"/>
        <v>No</v>
      </c>
    </row>
    <row r="169" spans="1:5" hidden="1" x14ac:dyDescent="0.25">
      <c r="A169" s="1">
        <v>44711</v>
      </c>
      <c r="C169">
        <f t="shared" si="5"/>
        <v>-1</v>
      </c>
      <c r="D169">
        <f>MONTH(tbl_SP500_Clean[[#This Row],[observation_date]])</f>
        <v>5</v>
      </c>
      <c r="E169" t="str">
        <f t="shared" si="6"/>
        <v>No</v>
      </c>
    </row>
    <row r="170" spans="1:5" x14ac:dyDescent="0.25">
      <c r="A170" s="1">
        <v>44712</v>
      </c>
      <c r="B170">
        <v>4132.1499999999996</v>
      </c>
      <c r="C170" s="3" t="e">
        <f t="shared" si="5"/>
        <v>#DIV/0!</v>
      </c>
      <c r="D170">
        <f>MONTH(tbl_SP500_Clean[[#This Row],[observation_date]])</f>
        <v>5</v>
      </c>
      <c r="E170" t="str">
        <f t="shared" si="6"/>
        <v>Yes</v>
      </c>
    </row>
    <row r="171" spans="1:5" hidden="1" x14ac:dyDescent="0.25">
      <c r="A171" s="1">
        <v>44713</v>
      </c>
      <c r="B171">
        <v>4101.2299999999996</v>
      </c>
      <c r="C171" s="3">
        <f t="shared" si="5"/>
        <v>-7.482787410912013E-3</v>
      </c>
      <c r="D171">
        <f>MONTH(tbl_SP500_Clean[[#This Row],[observation_date]])</f>
        <v>6</v>
      </c>
      <c r="E171" t="str">
        <f t="shared" si="6"/>
        <v>No</v>
      </c>
    </row>
    <row r="172" spans="1:5" hidden="1" x14ac:dyDescent="0.25">
      <c r="A172" s="1">
        <v>44714</v>
      </c>
      <c r="B172">
        <v>4176.82</v>
      </c>
      <c r="C172" s="3">
        <f t="shared" si="5"/>
        <v>1.8431056049038986E-2</v>
      </c>
      <c r="D172">
        <f>MONTH(tbl_SP500_Clean[[#This Row],[observation_date]])</f>
        <v>6</v>
      </c>
      <c r="E172" t="str">
        <f t="shared" si="6"/>
        <v>No</v>
      </c>
    </row>
    <row r="173" spans="1:5" hidden="1" x14ac:dyDescent="0.25">
      <c r="A173" s="1">
        <v>44715</v>
      </c>
      <c r="B173">
        <v>4108.54</v>
      </c>
      <c r="C173" s="3">
        <f t="shared" si="5"/>
        <v>-1.6347364741597616E-2</v>
      </c>
      <c r="D173">
        <f>MONTH(tbl_SP500_Clean[[#This Row],[observation_date]])</f>
        <v>6</v>
      </c>
      <c r="E173" t="str">
        <f t="shared" si="6"/>
        <v>No</v>
      </c>
    </row>
    <row r="174" spans="1:5" hidden="1" x14ac:dyDescent="0.25">
      <c r="A174" s="1">
        <v>44718</v>
      </c>
      <c r="B174">
        <v>4121.43</v>
      </c>
      <c r="C174" s="3">
        <f t="shared" si="5"/>
        <v>3.1373675320187531E-3</v>
      </c>
      <c r="D174">
        <f>MONTH(tbl_SP500_Clean[[#This Row],[observation_date]])</f>
        <v>6</v>
      </c>
      <c r="E174" t="str">
        <f t="shared" si="6"/>
        <v>No</v>
      </c>
    </row>
    <row r="175" spans="1:5" hidden="1" x14ac:dyDescent="0.25">
      <c r="A175" s="1">
        <v>44719</v>
      </c>
      <c r="B175">
        <v>4160.68</v>
      </c>
      <c r="C175" s="3">
        <f t="shared" si="5"/>
        <v>9.5233935794129705E-3</v>
      </c>
      <c r="D175">
        <f>MONTH(tbl_SP500_Clean[[#This Row],[observation_date]])</f>
        <v>6</v>
      </c>
      <c r="E175" t="str">
        <f t="shared" si="6"/>
        <v>No</v>
      </c>
    </row>
    <row r="176" spans="1:5" hidden="1" x14ac:dyDescent="0.25">
      <c r="A176" s="1">
        <v>44720</v>
      </c>
      <c r="B176">
        <v>4115.7700000000004</v>
      </c>
      <c r="C176" s="3">
        <f t="shared" si="5"/>
        <v>-1.0793908688002887E-2</v>
      </c>
      <c r="D176">
        <f>MONTH(tbl_SP500_Clean[[#This Row],[observation_date]])</f>
        <v>6</v>
      </c>
      <c r="E176" t="str">
        <f t="shared" si="6"/>
        <v>No</v>
      </c>
    </row>
    <row r="177" spans="1:5" hidden="1" x14ac:dyDescent="0.25">
      <c r="A177" s="1">
        <v>44721</v>
      </c>
      <c r="B177">
        <v>4017.82</v>
      </c>
      <c r="C177" s="3">
        <f t="shared" si="5"/>
        <v>-2.379870595295662E-2</v>
      </c>
      <c r="D177">
        <f>MONTH(tbl_SP500_Clean[[#This Row],[observation_date]])</f>
        <v>6</v>
      </c>
      <c r="E177" t="str">
        <f t="shared" si="6"/>
        <v>No</v>
      </c>
    </row>
    <row r="178" spans="1:5" hidden="1" x14ac:dyDescent="0.25">
      <c r="A178" s="1">
        <v>44722</v>
      </c>
      <c r="B178">
        <v>3900.86</v>
      </c>
      <c r="C178" s="3">
        <f t="shared" si="5"/>
        <v>-2.9110313553120853E-2</v>
      </c>
      <c r="D178">
        <f>MONTH(tbl_SP500_Clean[[#This Row],[observation_date]])</f>
        <v>6</v>
      </c>
      <c r="E178" t="str">
        <f t="shared" si="6"/>
        <v>No</v>
      </c>
    </row>
    <row r="179" spans="1:5" hidden="1" x14ac:dyDescent="0.25">
      <c r="A179" s="1">
        <v>44725</v>
      </c>
      <c r="B179">
        <v>3749.63</v>
      </c>
      <c r="C179" s="3">
        <f t="shared" si="5"/>
        <v>-3.8768374153391821E-2</v>
      </c>
      <c r="D179">
        <f>MONTH(tbl_SP500_Clean[[#This Row],[observation_date]])</f>
        <v>6</v>
      </c>
      <c r="E179" t="str">
        <f t="shared" si="6"/>
        <v>No</v>
      </c>
    </row>
    <row r="180" spans="1:5" hidden="1" x14ac:dyDescent="0.25">
      <c r="A180" s="1">
        <v>44726</v>
      </c>
      <c r="B180">
        <v>3735.48</v>
      </c>
      <c r="C180" s="3">
        <f t="shared" si="5"/>
        <v>-3.7737056722930238E-3</v>
      </c>
      <c r="D180">
        <f>MONTH(tbl_SP500_Clean[[#This Row],[observation_date]])</f>
        <v>6</v>
      </c>
      <c r="E180" t="str">
        <f t="shared" si="6"/>
        <v>No</v>
      </c>
    </row>
    <row r="181" spans="1:5" hidden="1" x14ac:dyDescent="0.25">
      <c r="A181" s="1">
        <v>44727</v>
      </c>
      <c r="B181">
        <v>3789.99</v>
      </c>
      <c r="C181" s="3">
        <f t="shared" si="5"/>
        <v>1.4592502168395966E-2</v>
      </c>
      <c r="D181">
        <f>MONTH(tbl_SP500_Clean[[#This Row],[observation_date]])</f>
        <v>6</v>
      </c>
      <c r="E181" t="str">
        <f t="shared" si="6"/>
        <v>No</v>
      </c>
    </row>
    <row r="182" spans="1:5" hidden="1" x14ac:dyDescent="0.25">
      <c r="A182" s="1">
        <v>44728</v>
      </c>
      <c r="B182">
        <v>3666.77</v>
      </c>
      <c r="C182" s="3">
        <f t="shared" si="5"/>
        <v>-3.2511959134456765E-2</v>
      </c>
      <c r="D182">
        <f>MONTH(tbl_SP500_Clean[[#This Row],[observation_date]])</f>
        <v>6</v>
      </c>
      <c r="E182" t="str">
        <f t="shared" si="6"/>
        <v>No</v>
      </c>
    </row>
    <row r="183" spans="1:5" hidden="1" x14ac:dyDescent="0.25">
      <c r="A183" s="1">
        <v>44729</v>
      </c>
      <c r="B183">
        <v>3674.84</v>
      </c>
      <c r="C183" s="3">
        <f t="shared" si="5"/>
        <v>2.2008470670372465E-3</v>
      </c>
      <c r="D183">
        <f>MONTH(tbl_SP500_Clean[[#This Row],[observation_date]])</f>
        <v>6</v>
      </c>
      <c r="E183" t="str">
        <f t="shared" si="6"/>
        <v>No</v>
      </c>
    </row>
    <row r="184" spans="1:5" hidden="1" x14ac:dyDescent="0.25">
      <c r="A184" s="1">
        <v>44732</v>
      </c>
      <c r="C184">
        <f t="shared" si="5"/>
        <v>-1</v>
      </c>
      <c r="D184">
        <f>MONTH(tbl_SP500_Clean[[#This Row],[observation_date]])</f>
        <v>6</v>
      </c>
      <c r="E184" t="str">
        <f t="shared" si="6"/>
        <v>No</v>
      </c>
    </row>
    <row r="185" spans="1:5" hidden="1" x14ac:dyDescent="0.25">
      <c r="A185" s="1">
        <v>44733</v>
      </c>
      <c r="B185">
        <v>3764.79</v>
      </c>
      <c r="C185" s="3" t="e">
        <f t="shared" si="5"/>
        <v>#DIV/0!</v>
      </c>
      <c r="D185">
        <f>MONTH(tbl_SP500_Clean[[#This Row],[observation_date]])</f>
        <v>6</v>
      </c>
      <c r="E185" t="str">
        <f t="shared" si="6"/>
        <v>No</v>
      </c>
    </row>
    <row r="186" spans="1:5" hidden="1" x14ac:dyDescent="0.25">
      <c r="A186" s="1">
        <v>44734</v>
      </c>
      <c r="B186">
        <v>3759.89</v>
      </c>
      <c r="C186" s="3">
        <f t="shared" si="5"/>
        <v>-1.3015334188626964E-3</v>
      </c>
      <c r="D186">
        <f>MONTH(tbl_SP500_Clean[[#This Row],[observation_date]])</f>
        <v>6</v>
      </c>
      <c r="E186" t="str">
        <f t="shared" si="6"/>
        <v>No</v>
      </c>
    </row>
    <row r="187" spans="1:5" hidden="1" x14ac:dyDescent="0.25">
      <c r="A187" s="1">
        <v>44735</v>
      </c>
      <c r="B187">
        <v>3795.73</v>
      </c>
      <c r="C187" s="3">
        <f t="shared" si="5"/>
        <v>9.5321937609877273E-3</v>
      </c>
      <c r="D187">
        <f>MONTH(tbl_SP500_Clean[[#This Row],[observation_date]])</f>
        <v>6</v>
      </c>
      <c r="E187" t="str">
        <f t="shared" si="6"/>
        <v>No</v>
      </c>
    </row>
    <row r="188" spans="1:5" hidden="1" x14ac:dyDescent="0.25">
      <c r="A188" s="1">
        <v>44736</v>
      </c>
      <c r="B188">
        <v>3911.74</v>
      </c>
      <c r="C188" s="3">
        <f t="shared" si="5"/>
        <v>3.0563290855777352E-2</v>
      </c>
      <c r="D188">
        <f>MONTH(tbl_SP500_Clean[[#This Row],[observation_date]])</f>
        <v>6</v>
      </c>
      <c r="E188" t="str">
        <f t="shared" si="6"/>
        <v>No</v>
      </c>
    </row>
    <row r="189" spans="1:5" hidden="1" x14ac:dyDescent="0.25">
      <c r="A189" s="1">
        <v>44739</v>
      </c>
      <c r="B189">
        <v>3900.11</v>
      </c>
      <c r="C189" s="3">
        <f t="shared" si="5"/>
        <v>-2.9731014842498877E-3</v>
      </c>
      <c r="D189">
        <f>MONTH(tbl_SP500_Clean[[#This Row],[observation_date]])</f>
        <v>6</v>
      </c>
      <c r="E189" t="str">
        <f t="shared" si="6"/>
        <v>No</v>
      </c>
    </row>
    <row r="190" spans="1:5" hidden="1" x14ac:dyDescent="0.25">
      <c r="A190" s="1">
        <v>44740</v>
      </c>
      <c r="B190">
        <v>3821.55</v>
      </c>
      <c r="C190" s="3">
        <f t="shared" si="5"/>
        <v>-2.0143021607082864E-2</v>
      </c>
      <c r="D190">
        <f>MONTH(tbl_SP500_Clean[[#This Row],[observation_date]])</f>
        <v>6</v>
      </c>
      <c r="E190" t="str">
        <f t="shared" si="6"/>
        <v>No</v>
      </c>
    </row>
    <row r="191" spans="1:5" hidden="1" x14ac:dyDescent="0.25">
      <c r="A191" s="1">
        <v>44741</v>
      </c>
      <c r="B191">
        <v>3818.83</v>
      </c>
      <c r="C191" s="3">
        <f t="shared" si="5"/>
        <v>-7.1175308448149426E-4</v>
      </c>
      <c r="D191">
        <f>MONTH(tbl_SP500_Clean[[#This Row],[observation_date]])</f>
        <v>6</v>
      </c>
      <c r="E191" t="str">
        <f t="shared" si="6"/>
        <v>No</v>
      </c>
    </row>
    <row r="192" spans="1:5" x14ac:dyDescent="0.25">
      <c r="A192" s="1">
        <v>44742</v>
      </c>
      <c r="B192">
        <v>3785.38</v>
      </c>
      <c r="C192" s="3">
        <f t="shared" si="5"/>
        <v>-8.7592273026031054E-3</v>
      </c>
      <c r="D192">
        <f>MONTH(tbl_SP500_Clean[[#This Row],[observation_date]])</f>
        <v>6</v>
      </c>
      <c r="E192" t="str">
        <f t="shared" si="6"/>
        <v>Yes</v>
      </c>
    </row>
    <row r="193" spans="1:5" hidden="1" x14ac:dyDescent="0.25">
      <c r="A193" s="1">
        <v>44743</v>
      </c>
      <c r="B193">
        <v>3825.33</v>
      </c>
      <c r="C193" s="3">
        <f t="shared" si="5"/>
        <v>1.0553762105785897E-2</v>
      </c>
      <c r="D193">
        <f>MONTH(tbl_SP500_Clean[[#This Row],[observation_date]])</f>
        <v>7</v>
      </c>
      <c r="E193" t="str">
        <f t="shared" si="6"/>
        <v>No</v>
      </c>
    </row>
    <row r="194" spans="1:5" hidden="1" x14ac:dyDescent="0.25">
      <c r="A194" s="1">
        <v>44746</v>
      </c>
      <c r="C194">
        <f t="shared" ref="C194:C257" si="7">(B194-B193)/B193</f>
        <v>-1</v>
      </c>
      <c r="D194">
        <f>MONTH(tbl_SP500_Clean[[#This Row],[observation_date]])</f>
        <v>7</v>
      </c>
      <c r="E194" t="str">
        <f t="shared" ref="E194:E257" si="8">IF(D194&lt;&gt;D195,"Yes","No")</f>
        <v>No</v>
      </c>
    </row>
    <row r="195" spans="1:5" hidden="1" x14ac:dyDescent="0.25">
      <c r="A195" s="1">
        <v>44747</v>
      </c>
      <c r="B195">
        <v>3831.39</v>
      </c>
      <c r="C195" s="3" t="e">
        <f t="shared" si="7"/>
        <v>#DIV/0!</v>
      </c>
      <c r="D195">
        <f>MONTH(tbl_SP500_Clean[[#This Row],[observation_date]])</f>
        <v>7</v>
      </c>
      <c r="E195" t="str">
        <f t="shared" si="8"/>
        <v>No</v>
      </c>
    </row>
    <row r="196" spans="1:5" hidden="1" x14ac:dyDescent="0.25">
      <c r="A196" s="1">
        <v>44748</v>
      </c>
      <c r="B196">
        <v>3845.08</v>
      </c>
      <c r="C196" s="3">
        <f t="shared" si="7"/>
        <v>3.5731157621646595E-3</v>
      </c>
      <c r="D196">
        <f>MONTH(tbl_SP500_Clean[[#This Row],[observation_date]])</f>
        <v>7</v>
      </c>
      <c r="E196" t="str">
        <f t="shared" si="8"/>
        <v>No</v>
      </c>
    </row>
    <row r="197" spans="1:5" hidden="1" x14ac:dyDescent="0.25">
      <c r="A197" s="1">
        <v>44749</v>
      </c>
      <c r="B197">
        <v>3902.62</v>
      </c>
      <c r="C197" s="3">
        <f t="shared" si="7"/>
        <v>1.4964578110208361E-2</v>
      </c>
      <c r="D197">
        <f>MONTH(tbl_SP500_Clean[[#This Row],[observation_date]])</f>
        <v>7</v>
      </c>
      <c r="E197" t="str">
        <f t="shared" si="8"/>
        <v>No</v>
      </c>
    </row>
    <row r="198" spans="1:5" hidden="1" x14ac:dyDescent="0.25">
      <c r="A198" s="1">
        <v>44750</v>
      </c>
      <c r="B198">
        <v>3899.38</v>
      </c>
      <c r="C198" s="3">
        <f t="shared" si="7"/>
        <v>-8.3021149894168069E-4</v>
      </c>
      <c r="D198">
        <f>MONTH(tbl_SP500_Clean[[#This Row],[observation_date]])</f>
        <v>7</v>
      </c>
      <c r="E198" t="str">
        <f t="shared" si="8"/>
        <v>No</v>
      </c>
    </row>
    <row r="199" spans="1:5" hidden="1" x14ac:dyDescent="0.25">
      <c r="A199" s="1">
        <v>44753</v>
      </c>
      <c r="B199">
        <v>3854.43</v>
      </c>
      <c r="C199" s="3">
        <f t="shared" si="7"/>
        <v>-1.152747359836699E-2</v>
      </c>
      <c r="D199">
        <f>MONTH(tbl_SP500_Clean[[#This Row],[observation_date]])</f>
        <v>7</v>
      </c>
      <c r="E199" t="str">
        <f t="shared" si="8"/>
        <v>No</v>
      </c>
    </row>
    <row r="200" spans="1:5" hidden="1" x14ac:dyDescent="0.25">
      <c r="A200" s="1">
        <v>44754</v>
      </c>
      <c r="B200">
        <v>3818.8</v>
      </c>
      <c r="C200" s="3">
        <f t="shared" si="7"/>
        <v>-9.2439089567068686E-3</v>
      </c>
      <c r="D200">
        <f>MONTH(tbl_SP500_Clean[[#This Row],[observation_date]])</f>
        <v>7</v>
      </c>
      <c r="E200" t="str">
        <f t="shared" si="8"/>
        <v>No</v>
      </c>
    </row>
    <row r="201" spans="1:5" hidden="1" x14ac:dyDescent="0.25">
      <c r="A201" s="1">
        <v>44755</v>
      </c>
      <c r="B201">
        <v>3801.78</v>
      </c>
      <c r="C201" s="3">
        <f t="shared" si="7"/>
        <v>-4.4568974546978059E-3</v>
      </c>
      <c r="D201">
        <f>MONTH(tbl_SP500_Clean[[#This Row],[observation_date]])</f>
        <v>7</v>
      </c>
      <c r="E201" t="str">
        <f t="shared" si="8"/>
        <v>No</v>
      </c>
    </row>
    <row r="202" spans="1:5" hidden="1" x14ac:dyDescent="0.25">
      <c r="A202" s="1">
        <v>44756</v>
      </c>
      <c r="B202">
        <v>3790.38</v>
      </c>
      <c r="C202" s="3">
        <f t="shared" si="7"/>
        <v>-2.9985953947887808E-3</v>
      </c>
      <c r="D202">
        <f>MONTH(tbl_SP500_Clean[[#This Row],[observation_date]])</f>
        <v>7</v>
      </c>
      <c r="E202" t="str">
        <f t="shared" si="8"/>
        <v>No</v>
      </c>
    </row>
    <row r="203" spans="1:5" hidden="1" x14ac:dyDescent="0.25">
      <c r="A203" s="1">
        <v>44757</v>
      </c>
      <c r="B203">
        <v>3863.16</v>
      </c>
      <c r="C203" s="3">
        <f t="shared" si="7"/>
        <v>1.9201241036518699E-2</v>
      </c>
      <c r="D203">
        <f>MONTH(tbl_SP500_Clean[[#This Row],[observation_date]])</f>
        <v>7</v>
      </c>
      <c r="E203" t="str">
        <f t="shared" si="8"/>
        <v>No</v>
      </c>
    </row>
    <row r="204" spans="1:5" hidden="1" x14ac:dyDescent="0.25">
      <c r="A204" s="1">
        <v>44760</v>
      </c>
      <c r="B204">
        <v>3830.85</v>
      </c>
      <c r="C204" s="3">
        <f t="shared" si="7"/>
        <v>-8.3636194203708745E-3</v>
      </c>
      <c r="D204">
        <f>MONTH(tbl_SP500_Clean[[#This Row],[observation_date]])</f>
        <v>7</v>
      </c>
      <c r="E204" t="str">
        <f t="shared" si="8"/>
        <v>No</v>
      </c>
    </row>
    <row r="205" spans="1:5" hidden="1" x14ac:dyDescent="0.25">
      <c r="A205" s="1">
        <v>44761</v>
      </c>
      <c r="B205">
        <v>3936.69</v>
      </c>
      <c r="C205" s="3">
        <f t="shared" si="7"/>
        <v>2.7628333137554369E-2</v>
      </c>
      <c r="D205">
        <f>MONTH(tbl_SP500_Clean[[#This Row],[observation_date]])</f>
        <v>7</v>
      </c>
      <c r="E205" t="str">
        <f t="shared" si="8"/>
        <v>No</v>
      </c>
    </row>
    <row r="206" spans="1:5" hidden="1" x14ac:dyDescent="0.25">
      <c r="A206" s="1">
        <v>44762</v>
      </c>
      <c r="B206">
        <v>3959.9</v>
      </c>
      <c r="C206" s="3">
        <f t="shared" si="7"/>
        <v>5.8958160281861252E-3</v>
      </c>
      <c r="D206">
        <f>MONTH(tbl_SP500_Clean[[#This Row],[observation_date]])</f>
        <v>7</v>
      </c>
      <c r="E206" t="str">
        <f t="shared" si="8"/>
        <v>No</v>
      </c>
    </row>
    <row r="207" spans="1:5" hidden="1" x14ac:dyDescent="0.25">
      <c r="A207" s="1">
        <v>44763</v>
      </c>
      <c r="B207">
        <v>3998.95</v>
      </c>
      <c r="C207" s="3">
        <f t="shared" si="7"/>
        <v>9.861360135356885E-3</v>
      </c>
      <c r="D207">
        <f>MONTH(tbl_SP500_Clean[[#This Row],[observation_date]])</f>
        <v>7</v>
      </c>
      <c r="E207" t="str">
        <f t="shared" si="8"/>
        <v>No</v>
      </c>
    </row>
    <row r="208" spans="1:5" hidden="1" x14ac:dyDescent="0.25">
      <c r="A208" s="1">
        <v>44764</v>
      </c>
      <c r="B208">
        <v>3961.63</v>
      </c>
      <c r="C208" s="3">
        <f t="shared" si="7"/>
        <v>-9.3324497680640443E-3</v>
      </c>
      <c r="D208">
        <f>MONTH(tbl_SP500_Clean[[#This Row],[observation_date]])</f>
        <v>7</v>
      </c>
      <c r="E208" t="str">
        <f t="shared" si="8"/>
        <v>No</v>
      </c>
    </row>
    <row r="209" spans="1:5" hidden="1" x14ac:dyDescent="0.25">
      <c r="A209" s="1">
        <v>44767</v>
      </c>
      <c r="B209">
        <v>3966.84</v>
      </c>
      <c r="C209" s="3">
        <f t="shared" si="7"/>
        <v>1.3151152429681813E-3</v>
      </c>
      <c r="D209">
        <f>MONTH(tbl_SP500_Clean[[#This Row],[observation_date]])</f>
        <v>7</v>
      </c>
      <c r="E209" t="str">
        <f t="shared" si="8"/>
        <v>No</v>
      </c>
    </row>
    <row r="210" spans="1:5" hidden="1" x14ac:dyDescent="0.25">
      <c r="A210" s="1">
        <v>44768</v>
      </c>
      <c r="B210">
        <v>3921.05</v>
      </c>
      <c r="C210" s="3">
        <f t="shared" si="7"/>
        <v>-1.154319307055489E-2</v>
      </c>
      <c r="D210">
        <f>MONTH(tbl_SP500_Clean[[#This Row],[observation_date]])</f>
        <v>7</v>
      </c>
      <c r="E210" t="str">
        <f t="shared" si="8"/>
        <v>No</v>
      </c>
    </row>
    <row r="211" spans="1:5" hidden="1" x14ac:dyDescent="0.25">
      <c r="A211" s="1">
        <v>44769</v>
      </c>
      <c r="B211">
        <v>4023.61</v>
      </c>
      <c r="C211" s="3">
        <f t="shared" si="7"/>
        <v>2.6156259165274594E-2</v>
      </c>
      <c r="D211">
        <f>MONTH(tbl_SP500_Clean[[#This Row],[observation_date]])</f>
        <v>7</v>
      </c>
      <c r="E211" t="str">
        <f t="shared" si="8"/>
        <v>No</v>
      </c>
    </row>
    <row r="212" spans="1:5" hidden="1" x14ac:dyDescent="0.25">
      <c r="A212" s="1">
        <v>44770</v>
      </c>
      <c r="B212">
        <v>4072.43</v>
      </c>
      <c r="C212" s="3">
        <f t="shared" si="7"/>
        <v>1.2133382708562635E-2</v>
      </c>
      <c r="D212">
        <f>MONTH(tbl_SP500_Clean[[#This Row],[observation_date]])</f>
        <v>7</v>
      </c>
      <c r="E212" t="str">
        <f t="shared" si="8"/>
        <v>No</v>
      </c>
    </row>
    <row r="213" spans="1:5" x14ac:dyDescent="0.25">
      <c r="A213" s="1">
        <v>44771</v>
      </c>
      <c r="B213">
        <v>4130.29</v>
      </c>
      <c r="C213" s="3">
        <f t="shared" si="7"/>
        <v>1.4207733466259734E-2</v>
      </c>
      <c r="D213">
        <f>MONTH(tbl_SP500_Clean[[#This Row],[observation_date]])</f>
        <v>7</v>
      </c>
      <c r="E213" t="str">
        <f t="shared" si="8"/>
        <v>Yes</v>
      </c>
    </row>
    <row r="214" spans="1:5" hidden="1" x14ac:dyDescent="0.25">
      <c r="A214" s="1">
        <v>44774</v>
      </c>
      <c r="B214">
        <v>4118.63</v>
      </c>
      <c r="C214" s="3">
        <f t="shared" si="7"/>
        <v>-2.8230463236237299E-3</v>
      </c>
      <c r="D214">
        <f>MONTH(tbl_SP500_Clean[[#This Row],[observation_date]])</f>
        <v>8</v>
      </c>
      <c r="E214" t="str">
        <f t="shared" si="8"/>
        <v>No</v>
      </c>
    </row>
    <row r="215" spans="1:5" hidden="1" x14ac:dyDescent="0.25">
      <c r="A215" s="1">
        <v>44775</v>
      </c>
      <c r="B215">
        <v>4091.19</v>
      </c>
      <c r="C215" s="3">
        <f t="shared" si="7"/>
        <v>-6.6624095876541599E-3</v>
      </c>
      <c r="D215">
        <f>MONTH(tbl_SP500_Clean[[#This Row],[observation_date]])</f>
        <v>8</v>
      </c>
      <c r="E215" t="str">
        <f t="shared" si="8"/>
        <v>No</v>
      </c>
    </row>
    <row r="216" spans="1:5" hidden="1" x14ac:dyDescent="0.25">
      <c r="A216" s="1">
        <v>44776</v>
      </c>
      <c r="B216">
        <v>4155.17</v>
      </c>
      <c r="C216" s="3">
        <f t="shared" si="7"/>
        <v>1.5638481713144591E-2</v>
      </c>
      <c r="D216">
        <f>MONTH(tbl_SP500_Clean[[#This Row],[observation_date]])</f>
        <v>8</v>
      </c>
      <c r="E216" t="str">
        <f t="shared" si="8"/>
        <v>No</v>
      </c>
    </row>
    <row r="217" spans="1:5" hidden="1" x14ac:dyDescent="0.25">
      <c r="A217" s="1">
        <v>44777</v>
      </c>
      <c r="B217">
        <v>4151.9399999999996</v>
      </c>
      <c r="C217" s="3">
        <f t="shared" si="7"/>
        <v>-7.7734484990998507E-4</v>
      </c>
      <c r="D217">
        <f>MONTH(tbl_SP500_Clean[[#This Row],[observation_date]])</f>
        <v>8</v>
      </c>
      <c r="E217" t="str">
        <f t="shared" si="8"/>
        <v>No</v>
      </c>
    </row>
    <row r="218" spans="1:5" hidden="1" x14ac:dyDescent="0.25">
      <c r="A218" s="1">
        <v>44778</v>
      </c>
      <c r="B218">
        <v>4145.1899999999996</v>
      </c>
      <c r="C218" s="3">
        <f t="shared" si="7"/>
        <v>-1.6257460367924393E-3</v>
      </c>
      <c r="D218">
        <f>MONTH(tbl_SP500_Clean[[#This Row],[observation_date]])</f>
        <v>8</v>
      </c>
      <c r="E218" t="str">
        <f t="shared" si="8"/>
        <v>No</v>
      </c>
    </row>
    <row r="219" spans="1:5" hidden="1" x14ac:dyDescent="0.25">
      <c r="A219" s="1">
        <v>44781</v>
      </c>
      <c r="B219">
        <v>4140.0600000000004</v>
      </c>
      <c r="C219" s="3">
        <f t="shared" si="7"/>
        <v>-1.2375789770792654E-3</v>
      </c>
      <c r="D219">
        <f>MONTH(tbl_SP500_Clean[[#This Row],[observation_date]])</f>
        <v>8</v>
      </c>
      <c r="E219" t="str">
        <f t="shared" si="8"/>
        <v>No</v>
      </c>
    </row>
    <row r="220" spans="1:5" hidden="1" x14ac:dyDescent="0.25">
      <c r="A220" s="1">
        <v>44782</v>
      </c>
      <c r="B220">
        <v>4122.47</v>
      </c>
      <c r="C220" s="3">
        <f t="shared" si="7"/>
        <v>-4.248730694724266E-3</v>
      </c>
      <c r="D220">
        <f>MONTH(tbl_SP500_Clean[[#This Row],[observation_date]])</f>
        <v>8</v>
      </c>
      <c r="E220" t="str">
        <f t="shared" si="8"/>
        <v>No</v>
      </c>
    </row>
    <row r="221" spans="1:5" hidden="1" x14ac:dyDescent="0.25">
      <c r="A221" s="1">
        <v>44783</v>
      </c>
      <c r="B221">
        <v>4210.24</v>
      </c>
      <c r="C221" s="3">
        <f t="shared" si="7"/>
        <v>2.1290634013103677E-2</v>
      </c>
      <c r="D221">
        <f>MONTH(tbl_SP500_Clean[[#This Row],[observation_date]])</f>
        <v>8</v>
      </c>
      <c r="E221" t="str">
        <f t="shared" si="8"/>
        <v>No</v>
      </c>
    </row>
    <row r="222" spans="1:5" hidden="1" x14ac:dyDescent="0.25">
      <c r="A222" s="1">
        <v>44784</v>
      </c>
      <c r="B222">
        <v>4207.2700000000004</v>
      </c>
      <c r="C222" s="3">
        <f t="shared" si="7"/>
        <v>-7.0542296876172029E-4</v>
      </c>
      <c r="D222">
        <f>MONTH(tbl_SP500_Clean[[#This Row],[observation_date]])</f>
        <v>8</v>
      </c>
      <c r="E222" t="str">
        <f t="shared" si="8"/>
        <v>No</v>
      </c>
    </row>
    <row r="223" spans="1:5" hidden="1" x14ac:dyDescent="0.25">
      <c r="A223" s="1">
        <v>44785</v>
      </c>
      <c r="B223">
        <v>4280.1499999999996</v>
      </c>
      <c r="C223" s="3">
        <f t="shared" si="7"/>
        <v>1.7322396708554285E-2</v>
      </c>
      <c r="D223">
        <f>MONTH(tbl_SP500_Clean[[#This Row],[observation_date]])</f>
        <v>8</v>
      </c>
      <c r="E223" t="str">
        <f t="shared" si="8"/>
        <v>No</v>
      </c>
    </row>
    <row r="224" spans="1:5" hidden="1" x14ac:dyDescent="0.25">
      <c r="A224" s="1">
        <v>44788</v>
      </c>
      <c r="B224">
        <v>4297.1400000000003</v>
      </c>
      <c r="C224" s="3">
        <f t="shared" si="7"/>
        <v>3.969487050687638E-3</v>
      </c>
      <c r="D224">
        <f>MONTH(tbl_SP500_Clean[[#This Row],[observation_date]])</f>
        <v>8</v>
      </c>
      <c r="E224" t="str">
        <f t="shared" si="8"/>
        <v>No</v>
      </c>
    </row>
    <row r="225" spans="1:5" hidden="1" x14ac:dyDescent="0.25">
      <c r="A225" s="1">
        <v>44789</v>
      </c>
      <c r="B225">
        <v>4305.2</v>
      </c>
      <c r="C225" s="3">
        <f t="shared" si="7"/>
        <v>1.8756661407353472E-3</v>
      </c>
      <c r="D225">
        <f>MONTH(tbl_SP500_Clean[[#This Row],[observation_date]])</f>
        <v>8</v>
      </c>
      <c r="E225" t="str">
        <f t="shared" si="8"/>
        <v>No</v>
      </c>
    </row>
    <row r="226" spans="1:5" hidden="1" x14ac:dyDescent="0.25">
      <c r="A226" s="1">
        <v>44790</v>
      </c>
      <c r="B226">
        <v>4274.04</v>
      </c>
      <c r="C226" s="3">
        <f t="shared" si="7"/>
        <v>-7.2377589891293916E-3</v>
      </c>
      <c r="D226">
        <f>MONTH(tbl_SP500_Clean[[#This Row],[observation_date]])</f>
        <v>8</v>
      </c>
      <c r="E226" t="str">
        <f t="shared" si="8"/>
        <v>No</v>
      </c>
    </row>
    <row r="227" spans="1:5" hidden="1" x14ac:dyDescent="0.25">
      <c r="A227" s="1">
        <v>44791</v>
      </c>
      <c r="B227">
        <v>4283.74</v>
      </c>
      <c r="C227" s="3">
        <f t="shared" si="7"/>
        <v>2.2695154935376874E-3</v>
      </c>
      <c r="D227">
        <f>MONTH(tbl_SP500_Clean[[#This Row],[observation_date]])</f>
        <v>8</v>
      </c>
      <c r="E227" t="str">
        <f t="shared" si="8"/>
        <v>No</v>
      </c>
    </row>
    <row r="228" spans="1:5" hidden="1" x14ac:dyDescent="0.25">
      <c r="A228" s="1">
        <v>44792</v>
      </c>
      <c r="B228">
        <v>4228.4799999999996</v>
      </c>
      <c r="C228" s="3">
        <f t="shared" si="7"/>
        <v>-1.2899942573545597E-2</v>
      </c>
      <c r="D228">
        <f>MONTH(tbl_SP500_Clean[[#This Row],[observation_date]])</f>
        <v>8</v>
      </c>
      <c r="E228" t="str">
        <f t="shared" si="8"/>
        <v>No</v>
      </c>
    </row>
    <row r="229" spans="1:5" hidden="1" x14ac:dyDescent="0.25">
      <c r="A229" s="1">
        <v>44795</v>
      </c>
      <c r="B229">
        <v>4137.99</v>
      </c>
      <c r="C229" s="3">
        <f t="shared" si="7"/>
        <v>-2.1400124867564655E-2</v>
      </c>
      <c r="D229">
        <f>MONTH(tbl_SP500_Clean[[#This Row],[observation_date]])</f>
        <v>8</v>
      </c>
      <c r="E229" t="str">
        <f t="shared" si="8"/>
        <v>No</v>
      </c>
    </row>
    <row r="230" spans="1:5" hidden="1" x14ac:dyDescent="0.25">
      <c r="A230" s="1">
        <v>44796</v>
      </c>
      <c r="B230">
        <v>4128.7299999999996</v>
      </c>
      <c r="C230" s="3">
        <f t="shared" si="7"/>
        <v>-2.2378014446627998E-3</v>
      </c>
      <c r="D230">
        <f>MONTH(tbl_SP500_Clean[[#This Row],[observation_date]])</f>
        <v>8</v>
      </c>
      <c r="E230" t="str">
        <f t="shared" si="8"/>
        <v>No</v>
      </c>
    </row>
    <row r="231" spans="1:5" hidden="1" x14ac:dyDescent="0.25">
      <c r="A231" s="1">
        <v>44797</v>
      </c>
      <c r="B231">
        <v>4140.7700000000004</v>
      </c>
      <c r="C231" s="3">
        <f t="shared" si="7"/>
        <v>2.9161509713642873E-3</v>
      </c>
      <c r="D231">
        <f>MONTH(tbl_SP500_Clean[[#This Row],[observation_date]])</f>
        <v>8</v>
      </c>
      <c r="E231" t="str">
        <f t="shared" si="8"/>
        <v>No</v>
      </c>
    </row>
    <row r="232" spans="1:5" hidden="1" x14ac:dyDescent="0.25">
      <c r="A232" s="1">
        <v>44798</v>
      </c>
      <c r="B232">
        <v>4199.12</v>
      </c>
      <c r="C232" s="3">
        <f t="shared" si="7"/>
        <v>1.4091582000449059E-2</v>
      </c>
      <c r="D232">
        <f>MONTH(tbl_SP500_Clean[[#This Row],[observation_date]])</f>
        <v>8</v>
      </c>
      <c r="E232" t="str">
        <f t="shared" si="8"/>
        <v>No</v>
      </c>
    </row>
    <row r="233" spans="1:5" hidden="1" x14ac:dyDescent="0.25">
      <c r="A233" s="1">
        <v>44799</v>
      </c>
      <c r="B233">
        <v>4057.66</v>
      </c>
      <c r="C233" s="3">
        <f t="shared" si="7"/>
        <v>-3.3688010821314951E-2</v>
      </c>
      <c r="D233">
        <f>MONTH(tbl_SP500_Clean[[#This Row],[observation_date]])</f>
        <v>8</v>
      </c>
      <c r="E233" t="str">
        <f t="shared" si="8"/>
        <v>No</v>
      </c>
    </row>
    <row r="234" spans="1:5" hidden="1" x14ac:dyDescent="0.25">
      <c r="A234" s="1">
        <v>44802</v>
      </c>
      <c r="B234">
        <v>4030.61</v>
      </c>
      <c r="C234" s="3">
        <f t="shared" si="7"/>
        <v>-6.6664037893760762E-3</v>
      </c>
      <c r="D234">
        <f>MONTH(tbl_SP500_Clean[[#This Row],[observation_date]])</f>
        <v>8</v>
      </c>
      <c r="E234" t="str">
        <f t="shared" si="8"/>
        <v>No</v>
      </c>
    </row>
    <row r="235" spans="1:5" hidden="1" x14ac:dyDescent="0.25">
      <c r="A235" s="1">
        <v>44803</v>
      </c>
      <c r="B235">
        <v>3986.16</v>
      </c>
      <c r="C235" s="3">
        <f t="shared" si="7"/>
        <v>-1.102810740805989E-2</v>
      </c>
      <c r="D235">
        <f>MONTH(tbl_SP500_Clean[[#This Row],[observation_date]])</f>
        <v>8</v>
      </c>
      <c r="E235" t="str">
        <f t="shared" si="8"/>
        <v>No</v>
      </c>
    </row>
    <row r="236" spans="1:5" x14ac:dyDescent="0.25">
      <c r="A236" s="1">
        <v>44804</v>
      </c>
      <c r="B236">
        <v>3955</v>
      </c>
      <c r="C236" s="3">
        <f t="shared" si="7"/>
        <v>-7.8170469825596198E-3</v>
      </c>
      <c r="D236">
        <f>MONTH(tbl_SP500_Clean[[#This Row],[observation_date]])</f>
        <v>8</v>
      </c>
      <c r="E236" t="str">
        <f t="shared" si="8"/>
        <v>Yes</v>
      </c>
    </row>
    <row r="237" spans="1:5" hidden="1" x14ac:dyDescent="0.25">
      <c r="A237" s="1">
        <v>44805</v>
      </c>
      <c r="B237">
        <v>3966.85</v>
      </c>
      <c r="C237" s="3">
        <f t="shared" si="7"/>
        <v>2.9962073324904955E-3</v>
      </c>
      <c r="D237">
        <f>MONTH(tbl_SP500_Clean[[#This Row],[observation_date]])</f>
        <v>9</v>
      </c>
      <c r="E237" t="str">
        <f t="shared" si="8"/>
        <v>No</v>
      </c>
    </row>
    <row r="238" spans="1:5" hidden="1" x14ac:dyDescent="0.25">
      <c r="A238" s="1">
        <v>44806</v>
      </c>
      <c r="B238">
        <v>3924.26</v>
      </c>
      <c r="C238" s="3">
        <f t="shared" si="7"/>
        <v>-1.0736478566116614E-2</v>
      </c>
      <c r="D238">
        <f>MONTH(tbl_SP500_Clean[[#This Row],[observation_date]])</f>
        <v>9</v>
      </c>
      <c r="E238" t="str">
        <f t="shared" si="8"/>
        <v>No</v>
      </c>
    </row>
    <row r="239" spans="1:5" hidden="1" x14ac:dyDescent="0.25">
      <c r="A239" s="1">
        <v>44809</v>
      </c>
      <c r="C239">
        <f t="shared" si="7"/>
        <v>-1</v>
      </c>
      <c r="D239">
        <f>MONTH(tbl_SP500_Clean[[#This Row],[observation_date]])</f>
        <v>9</v>
      </c>
      <c r="E239" t="str">
        <f t="shared" si="8"/>
        <v>No</v>
      </c>
    </row>
    <row r="240" spans="1:5" hidden="1" x14ac:dyDescent="0.25">
      <c r="A240" s="1">
        <v>44810</v>
      </c>
      <c r="B240">
        <v>3908.19</v>
      </c>
      <c r="C240" s="3" t="e">
        <f t="shared" si="7"/>
        <v>#DIV/0!</v>
      </c>
      <c r="D240">
        <f>MONTH(tbl_SP500_Clean[[#This Row],[observation_date]])</f>
        <v>9</v>
      </c>
      <c r="E240" t="str">
        <f t="shared" si="8"/>
        <v>No</v>
      </c>
    </row>
    <row r="241" spans="1:5" hidden="1" x14ac:dyDescent="0.25">
      <c r="A241" s="1">
        <v>44811</v>
      </c>
      <c r="B241">
        <v>3979.87</v>
      </c>
      <c r="C241" s="3">
        <f t="shared" si="7"/>
        <v>1.8340971140092942E-2</v>
      </c>
      <c r="D241">
        <f>MONTH(tbl_SP500_Clean[[#This Row],[observation_date]])</f>
        <v>9</v>
      </c>
      <c r="E241" t="str">
        <f t="shared" si="8"/>
        <v>No</v>
      </c>
    </row>
    <row r="242" spans="1:5" hidden="1" x14ac:dyDescent="0.25">
      <c r="A242" s="1">
        <v>44812</v>
      </c>
      <c r="B242">
        <v>4006.18</v>
      </c>
      <c r="C242" s="3">
        <f t="shared" si="7"/>
        <v>6.6107686934497728E-3</v>
      </c>
      <c r="D242">
        <f>MONTH(tbl_SP500_Clean[[#This Row],[observation_date]])</f>
        <v>9</v>
      </c>
      <c r="E242" t="str">
        <f t="shared" si="8"/>
        <v>No</v>
      </c>
    </row>
    <row r="243" spans="1:5" hidden="1" x14ac:dyDescent="0.25">
      <c r="A243" s="1">
        <v>44813</v>
      </c>
      <c r="B243">
        <v>4067.36</v>
      </c>
      <c r="C243" s="3">
        <f t="shared" si="7"/>
        <v>1.5271405678227212E-2</v>
      </c>
      <c r="D243">
        <f>MONTH(tbl_SP500_Clean[[#This Row],[observation_date]])</f>
        <v>9</v>
      </c>
      <c r="E243" t="str">
        <f t="shared" si="8"/>
        <v>No</v>
      </c>
    </row>
    <row r="244" spans="1:5" hidden="1" x14ac:dyDescent="0.25">
      <c r="A244" s="1">
        <v>44816</v>
      </c>
      <c r="B244">
        <v>4110.41</v>
      </c>
      <c r="C244" s="3">
        <f t="shared" si="7"/>
        <v>1.0584261044018658E-2</v>
      </c>
      <c r="D244">
        <f>MONTH(tbl_SP500_Clean[[#This Row],[observation_date]])</f>
        <v>9</v>
      </c>
      <c r="E244" t="str">
        <f t="shared" si="8"/>
        <v>No</v>
      </c>
    </row>
    <row r="245" spans="1:5" hidden="1" x14ac:dyDescent="0.25">
      <c r="A245" s="1">
        <v>44817</v>
      </c>
      <c r="B245">
        <v>3932.69</v>
      </c>
      <c r="C245" s="3">
        <f t="shared" si="7"/>
        <v>-4.3236562775976074E-2</v>
      </c>
      <c r="D245">
        <f>MONTH(tbl_SP500_Clean[[#This Row],[observation_date]])</f>
        <v>9</v>
      </c>
      <c r="E245" t="str">
        <f t="shared" si="8"/>
        <v>No</v>
      </c>
    </row>
    <row r="246" spans="1:5" hidden="1" x14ac:dyDescent="0.25">
      <c r="A246" s="1">
        <v>44818</v>
      </c>
      <c r="B246">
        <v>3946.01</v>
      </c>
      <c r="C246" s="3">
        <f t="shared" si="7"/>
        <v>3.386994652515241E-3</v>
      </c>
      <c r="D246">
        <f>MONTH(tbl_SP500_Clean[[#This Row],[observation_date]])</f>
        <v>9</v>
      </c>
      <c r="E246" t="str">
        <f t="shared" si="8"/>
        <v>No</v>
      </c>
    </row>
    <row r="247" spans="1:5" hidden="1" x14ac:dyDescent="0.25">
      <c r="A247" s="1">
        <v>44819</v>
      </c>
      <c r="B247">
        <v>3901.35</v>
      </c>
      <c r="C247" s="3">
        <f t="shared" si="7"/>
        <v>-1.1317761485652673E-2</v>
      </c>
      <c r="D247">
        <f>MONTH(tbl_SP500_Clean[[#This Row],[observation_date]])</f>
        <v>9</v>
      </c>
      <c r="E247" t="str">
        <f t="shared" si="8"/>
        <v>No</v>
      </c>
    </row>
    <row r="248" spans="1:5" hidden="1" x14ac:dyDescent="0.25">
      <c r="A248" s="1">
        <v>44820</v>
      </c>
      <c r="B248">
        <v>3873.33</v>
      </c>
      <c r="C248" s="3">
        <f t="shared" si="7"/>
        <v>-7.182129262947437E-3</v>
      </c>
      <c r="D248">
        <f>MONTH(tbl_SP500_Clean[[#This Row],[observation_date]])</f>
        <v>9</v>
      </c>
      <c r="E248" t="str">
        <f t="shared" si="8"/>
        <v>No</v>
      </c>
    </row>
    <row r="249" spans="1:5" hidden="1" x14ac:dyDescent="0.25">
      <c r="A249" s="1">
        <v>44823</v>
      </c>
      <c r="B249">
        <v>3899.89</v>
      </c>
      <c r="C249" s="3">
        <f t="shared" si="7"/>
        <v>6.8571487583035644E-3</v>
      </c>
      <c r="D249">
        <f>MONTH(tbl_SP500_Clean[[#This Row],[observation_date]])</f>
        <v>9</v>
      </c>
      <c r="E249" t="str">
        <f t="shared" si="8"/>
        <v>No</v>
      </c>
    </row>
    <row r="250" spans="1:5" hidden="1" x14ac:dyDescent="0.25">
      <c r="A250" s="1">
        <v>44824</v>
      </c>
      <c r="B250">
        <v>3855.93</v>
      </c>
      <c r="C250" s="3">
        <f t="shared" si="7"/>
        <v>-1.1272112803181638E-2</v>
      </c>
      <c r="D250">
        <f>MONTH(tbl_SP500_Clean[[#This Row],[observation_date]])</f>
        <v>9</v>
      </c>
      <c r="E250" t="str">
        <f t="shared" si="8"/>
        <v>No</v>
      </c>
    </row>
    <row r="251" spans="1:5" hidden="1" x14ac:dyDescent="0.25">
      <c r="A251" s="1">
        <v>44825</v>
      </c>
      <c r="B251">
        <v>3789.93</v>
      </c>
      <c r="C251" s="3">
        <f t="shared" si="7"/>
        <v>-1.7116493297336829E-2</v>
      </c>
      <c r="D251">
        <f>MONTH(tbl_SP500_Clean[[#This Row],[observation_date]])</f>
        <v>9</v>
      </c>
      <c r="E251" t="str">
        <f t="shared" si="8"/>
        <v>No</v>
      </c>
    </row>
    <row r="252" spans="1:5" hidden="1" x14ac:dyDescent="0.25">
      <c r="A252" s="1">
        <v>44826</v>
      </c>
      <c r="B252">
        <v>3757.99</v>
      </c>
      <c r="C252" s="3">
        <f t="shared" si="7"/>
        <v>-8.4275962880581059E-3</v>
      </c>
      <c r="D252">
        <f>MONTH(tbl_SP500_Clean[[#This Row],[observation_date]])</f>
        <v>9</v>
      </c>
      <c r="E252" t="str">
        <f t="shared" si="8"/>
        <v>No</v>
      </c>
    </row>
    <row r="253" spans="1:5" hidden="1" x14ac:dyDescent="0.25">
      <c r="A253" s="1">
        <v>44827</v>
      </c>
      <c r="B253">
        <v>3693.23</v>
      </c>
      <c r="C253" s="3">
        <f t="shared" si="7"/>
        <v>-1.723261637204989E-2</v>
      </c>
      <c r="D253">
        <f>MONTH(tbl_SP500_Clean[[#This Row],[observation_date]])</f>
        <v>9</v>
      </c>
      <c r="E253" t="str">
        <f t="shared" si="8"/>
        <v>No</v>
      </c>
    </row>
    <row r="254" spans="1:5" hidden="1" x14ac:dyDescent="0.25">
      <c r="A254" s="1">
        <v>44830</v>
      </c>
      <c r="B254">
        <v>3655.04</v>
      </c>
      <c r="C254" s="3">
        <f t="shared" si="7"/>
        <v>-1.0340542018774908E-2</v>
      </c>
      <c r="D254">
        <f>MONTH(tbl_SP500_Clean[[#This Row],[observation_date]])</f>
        <v>9</v>
      </c>
      <c r="E254" t="str">
        <f t="shared" si="8"/>
        <v>No</v>
      </c>
    </row>
    <row r="255" spans="1:5" hidden="1" x14ac:dyDescent="0.25">
      <c r="A255" s="1">
        <v>44831</v>
      </c>
      <c r="B255">
        <v>3647.29</v>
      </c>
      <c r="C255" s="3">
        <f t="shared" si="7"/>
        <v>-2.1203598319033444E-3</v>
      </c>
      <c r="D255">
        <f>MONTH(tbl_SP500_Clean[[#This Row],[observation_date]])</f>
        <v>9</v>
      </c>
      <c r="E255" t="str">
        <f t="shared" si="8"/>
        <v>No</v>
      </c>
    </row>
    <row r="256" spans="1:5" hidden="1" x14ac:dyDescent="0.25">
      <c r="A256" s="1">
        <v>44832</v>
      </c>
      <c r="B256">
        <v>3719.04</v>
      </c>
      <c r="C256" s="3">
        <f t="shared" si="7"/>
        <v>1.9672140136923578E-2</v>
      </c>
      <c r="D256">
        <f>MONTH(tbl_SP500_Clean[[#This Row],[observation_date]])</f>
        <v>9</v>
      </c>
      <c r="E256" t="str">
        <f t="shared" si="8"/>
        <v>No</v>
      </c>
    </row>
    <row r="257" spans="1:5" hidden="1" x14ac:dyDescent="0.25">
      <c r="A257" s="1">
        <v>44833</v>
      </c>
      <c r="B257">
        <v>3640.47</v>
      </c>
      <c r="C257" s="3">
        <f t="shared" si="7"/>
        <v>-2.1126419721218422E-2</v>
      </c>
      <c r="D257">
        <f>MONTH(tbl_SP500_Clean[[#This Row],[observation_date]])</f>
        <v>9</v>
      </c>
      <c r="E257" t="str">
        <f t="shared" si="8"/>
        <v>No</v>
      </c>
    </row>
    <row r="258" spans="1:5" x14ac:dyDescent="0.25">
      <c r="A258" s="1">
        <v>44834</v>
      </c>
      <c r="B258">
        <v>3585.62</v>
      </c>
      <c r="C258" s="3">
        <f t="shared" ref="C258:C321" si="9">(B258-B257)/B257</f>
        <v>-1.5066735888497889E-2</v>
      </c>
      <c r="D258">
        <f>MONTH(tbl_SP500_Clean[[#This Row],[observation_date]])</f>
        <v>9</v>
      </c>
      <c r="E258" t="str">
        <f t="shared" ref="E258:E321" si="10">IF(D258&lt;&gt;D259,"Yes","No")</f>
        <v>Yes</v>
      </c>
    </row>
    <row r="259" spans="1:5" hidden="1" x14ac:dyDescent="0.25">
      <c r="A259" s="1">
        <v>44837</v>
      </c>
      <c r="B259">
        <v>3678.43</v>
      </c>
      <c r="C259" s="3">
        <f t="shared" si="9"/>
        <v>2.5883947546031075E-2</v>
      </c>
      <c r="D259">
        <f>MONTH(tbl_SP500_Clean[[#This Row],[observation_date]])</f>
        <v>10</v>
      </c>
      <c r="E259" t="str">
        <f t="shared" si="10"/>
        <v>No</v>
      </c>
    </row>
    <row r="260" spans="1:5" hidden="1" x14ac:dyDescent="0.25">
      <c r="A260" s="1">
        <v>44838</v>
      </c>
      <c r="B260">
        <v>3790.93</v>
      </c>
      <c r="C260" s="3">
        <f t="shared" si="9"/>
        <v>3.0583700111188741E-2</v>
      </c>
      <c r="D260">
        <f>MONTH(tbl_SP500_Clean[[#This Row],[observation_date]])</f>
        <v>10</v>
      </c>
      <c r="E260" t="str">
        <f t="shared" si="10"/>
        <v>No</v>
      </c>
    </row>
    <row r="261" spans="1:5" hidden="1" x14ac:dyDescent="0.25">
      <c r="A261" s="1">
        <v>44839</v>
      </c>
      <c r="B261">
        <v>3783.28</v>
      </c>
      <c r="C261" s="3">
        <f t="shared" si="9"/>
        <v>-2.0179744811958111E-3</v>
      </c>
      <c r="D261">
        <f>MONTH(tbl_SP500_Clean[[#This Row],[observation_date]])</f>
        <v>10</v>
      </c>
      <c r="E261" t="str">
        <f t="shared" si="10"/>
        <v>No</v>
      </c>
    </row>
    <row r="262" spans="1:5" hidden="1" x14ac:dyDescent="0.25">
      <c r="A262" s="1">
        <v>44840</v>
      </c>
      <c r="B262">
        <v>3744.52</v>
      </c>
      <c r="C262" s="3">
        <f t="shared" si="9"/>
        <v>-1.024507834471681E-2</v>
      </c>
      <c r="D262">
        <f>MONTH(tbl_SP500_Clean[[#This Row],[observation_date]])</f>
        <v>10</v>
      </c>
      <c r="E262" t="str">
        <f t="shared" si="10"/>
        <v>No</v>
      </c>
    </row>
    <row r="263" spans="1:5" hidden="1" x14ac:dyDescent="0.25">
      <c r="A263" s="1">
        <v>44841</v>
      </c>
      <c r="B263">
        <v>3639.66</v>
      </c>
      <c r="C263" s="3">
        <f t="shared" si="9"/>
        <v>-2.8003589245083515E-2</v>
      </c>
      <c r="D263">
        <f>MONTH(tbl_SP500_Clean[[#This Row],[observation_date]])</f>
        <v>10</v>
      </c>
      <c r="E263" t="str">
        <f t="shared" si="10"/>
        <v>No</v>
      </c>
    </row>
    <row r="264" spans="1:5" hidden="1" x14ac:dyDescent="0.25">
      <c r="A264" s="1">
        <v>44844</v>
      </c>
      <c r="B264">
        <v>3612.39</v>
      </c>
      <c r="C264" s="3">
        <f t="shared" si="9"/>
        <v>-7.4924580867443613E-3</v>
      </c>
      <c r="D264">
        <f>MONTH(tbl_SP500_Clean[[#This Row],[observation_date]])</f>
        <v>10</v>
      </c>
      <c r="E264" t="str">
        <f t="shared" si="10"/>
        <v>No</v>
      </c>
    </row>
    <row r="265" spans="1:5" hidden="1" x14ac:dyDescent="0.25">
      <c r="A265" s="1">
        <v>44845</v>
      </c>
      <c r="B265">
        <v>3588.84</v>
      </c>
      <c r="C265" s="3">
        <f t="shared" si="9"/>
        <v>-6.5192296512834244E-3</v>
      </c>
      <c r="D265">
        <f>MONTH(tbl_SP500_Clean[[#This Row],[observation_date]])</f>
        <v>10</v>
      </c>
      <c r="E265" t="str">
        <f t="shared" si="10"/>
        <v>No</v>
      </c>
    </row>
    <row r="266" spans="1:5" hidden="1" x14ac:dyDescent="0.25">
      <c r="A266" s="1">
        <v>44846</v>
      </c>
      <c r="B266">
        <v>3577.03</v>
      </c>
      <c r="C266" s="3">
        <f t="shared" si="9"/>
        <v>-3.2907569019515904E-3</v>
      </c>
      <c r="D266">
        <f>MONTH(tbl_SP500_Clean[[#This Row],[observation_date]])</f>
        <v>10</v>
      </c>
      <c r="E266" t="str">
        <f t="shared" si="10"/>
        <v>No</v>
      </c>
    </row>
    <row r="267" spans="1:5" hidden="1" x14ac:dyDescent="0.25">
      <c r="A267" s="1">
        <v>44847</v>
      </c>
      <c r="B267">
        <v>3669.91</v>
      </c>
      <c r="C267" s="3">
        <f t="shared" si="9"/>
        <v>2.59656754346482E-2</v>
      </c>
      <c r="D267">
        <f>MONTH(tbl_SP500_Clean[[#This Row],[observation_date]])</f>
        <v>10</v>
      </c>
      <c r="E267" t="str">
        <f t="shared" si="10"/>
        <v>No</v>
      </c>
    </row>
    <row r="268" spans="1:5" hidden="1" x14ac:dyDescent="0.25">
      <c r="A268" s="1">
        <v>44848</v>
      </c>
      <c r="B268">
        <v>3583.07</v>
      </c>
      <c r="C268" s="3">
        <f t="shared" si="9"/>
        <v>-2.3662705624933496E-2</v>
      </c>
      <c r="D268">
        <f>MONTH(tbl_SP500_Clean[[#This Row],[observation_date]])</f>
        <v>10</v>
      </c>
      <c r="E268" t="str">
        <f t="shared" si="10"/>
        <v>No</v>
      </c>
    </row>
    <row r="269" spans="1:5" hidden="1" x14ac:dyDescent="0.25">
      <c r="A269" s="1">
        <v>44851</v>
      </c>
      <c r="B269">
        <v>3677.95</v>
      </c>
      <c r="C269" s="3">
        <f t="shared" si="9"/>
        <v>2.6480085513260875E-2</v>
      </c>
      <c r="D269">
        <f>MONTH(tbl_SP500_Clean[[#This Row],[observation_date]])</f>
        <v>10</v>
      </c>
      <c r="E269" t="str">
        <f t="shared" si="10"/>
        <v>No</v>
      </c>
    </row>
    <row r="270" spans="1:5" hidden="1" x14ac:dyDescent="0.25">
      <c r="A270" s="1">
        <v>44852</v>
      </c>
      <c r="B270">
        <v>3719.98</v>
      </c>
      <c r="C270" s="3">
        <f t="shared" si="9"/>
        <v>1.1427561549232643E-2</v>
      </c>
      <c r="D270">
        <f>MONTH(tbl_SP500_Clean[[#This Row],[observation_date]])</f>
        <v>10</v>
      </c>
      <c r="E270" t="str">
        <f t="shared" si="10"/>
        <v>No</v>
      </c>
    </row>
    <row r="271" spans="1:5" hidden="1" x14ac:dyDescent="0.25">
      <c r="A271" s="1">
        <v>44853</v>
      </c>
      <c r="B271">
        <v>3695.16</v>
      </c>
      <c r="C271" s="3">
        <f t="shared" si="9"/>
        <v>-6.6720788821445715E-3</v>
      </c>
      <c r="D271">
        <f>MONTH(tbl_SP500_Clean[[#This Row],[observation_date]])</f>
        <v>10</v>
      </c>
      <c r="E271" t="str">
        <f t="shared" si="10"/>
        <v>No</v>
      </c>
    </row>
    <row r="272" spans="1:5" hidden="1" x14ac:dyDescent="0.25">
      <c r="A272" s="1">
        <v>44854</v>
      </c>
      <c r="B272">
        <v>3665.78</v>
      </c>
      <c r="C272" s="3">
        <f t="shared" si="9"/>
        <v>-7.9509412312321129E-3</v>
      </c>
      <c r="D272">
        <f>MONTH(tbl_SP500_Clean[[#This Row],[observation_date]])</f>
        <v>10</v>
      </c>
      <c r="E272" t="str">
        <f t="shared" si="10"/>
        <v>No</v>
      </c>
    </row>
    <row r="273" spans="1:5" hidden="1" x14ac:dyDescent="0.25">
      <c r="A273" s="1">
        <v>44855</v>
      </c>
      <c r="B273">
        <v>3752.75</v>
      </c>
      <c r="C273" s="3">
        <f t="shared" si="9"/>
        <v>2.3724828003862695E-2</v>
      </c>
      <c r="D273">
        <f>MONTH(tbl_SP500_Clean[[#This Row],[observation_date]])</f>
        <v>10</v>
      </c>
      <c r="E273" t="str">
        <f t="shared" si="10"/>
        <v>No</v>
      </c>
    </row>
    <row r="274" spans="1:5" hidden="1" x14ac:dyDescent="0.25">
      <c r="A274" s="1">
        <v>44858</v>
      </c>
      <c r="B274">
        <v>3797.34</v>
      </c>
      <c r="C274" s="3">
        <f t="shared" si="9"/>
        <v>1.188195323429489E-2</v>
      </c>
      <c r="D274">
        <f>MONTH(tbl_SP500_Clean[[#This Row],[observation_date]])</f>
        <v>10</v>
      </c>
      <c r="E274" t="str">
        <f t="shared" si="10"/>
        <v>No</v>
      </c>
    </row>
    <row r="275" spans="1:5" hidden="1" x14ac:dyDescent="0.25">
      <c r="A275" s="1">
        <v>44859</v>
      </c>
      <c r="B275">
        <v>3859.11</v>
      </c>
      <c r="C275" s="3">
        <f t="shared" si="9"/>
        <v>1.6266649812763666E-2</v>
      </c>
      <c r="D275">
        <f>MONTH(tbl_SP500_Clean[[#This Row],[observation_date]])</f>
        <v>10</v>
      </c>
      <c r="E275" t="str">
        <f t="shared" si="10"/>
        <v>No</v>
      </c>
    </row>
    <row r="276" spans="1:5" hidden="1" x14ac:dyDescent="0.25">
      <c r="A276" s="1">
        <v>44860</v>
      </c>
      <c r="B276">
        <v>3830.6</v>
      </c>
      <c r="C276" s="3">
        <f t="shared" si="9"/>
        <v>-7.3877137474703276E-3</v>
      </c>
      <c r="D276">
        <f>MONTH(tbl_SP500_Clean[[#This Row],[observation_date]])</f>
        <v>10</v>
      </c>
      <c r="E276" t="str">
        <f t="shared" si="10"/>
        <v>No</v>
      </c>
    </row>
    <row r="277" spans="1:5" hidden="1" x14ac:dyDescent="0.25">
      <c r="A277" s="1">
        <v>44861</v>
      </c>
      <c r="B277">
        <v>3807.3</v>
      </c>
      <c r="C277" s="3">
        <f t="shared" si="9"/>
        <v>-6.0825980264187663E-3</v>
      </c>
      <c r="D277">
        <f>MONTH(tbl_SP500_Clean[[#This Row],[observation_date]])</f>
        <v>10</v>
      </c>
      <c r="E277" t="str">
        <f t="shared" si="10"/>
        <v>No</v>
      </c>
    </row>
    <row r="278" spans="1:5" hidden="1" x14ac:dyDescent="0.25">
      <c r="A278" s="1">
        <v>44862</v>
      </c>
      <c r="B278">
        <v>3901.06</v>
      </c>
      <c r="C278" s="3">
        <f t="shared" si="9"/>
        <v>2.4626375646783747E-2</v>
      </c>
      <c r="D278">
        <f>MONTH(tbl_SP500_Clean[[#This Row],[observation_date]])</f>
        <v>10</v>
      </c>
      <c r="E278" t="str">
        <f t="shared" si="10"/>
        <v>No</v>
      </c>
    </row>
    <row r="279" spans="1:5" x14ac:dyDescent="0.25">
      <c r="A279" s="1">
        <v>44865</v>
      </c>
      <c r="B279">
        <v>3871.98</v>
      </c>
      <c r="C279" s="3">
        <f t="shared" si="9"/>
        <v>-7.4543841930141876E-3</v>
      </c>
      <c r="D279">
        <f>MONTH(tbl_SP500_Clean[[#This Row],[observation_date]])</f>
        <v>10</v>
      </c>
      <c r="E279" t="str">
        <f t="shared" si="10"/>
        <v>Yes</v>
      </c>
    </row>
    <row r="280" spans="1:5" hidden="1" x14ac:dyDescent="0.25">
      <c r="A280" s="1">
        <v>44866</v>
      </c>
      <c r="B280">
        <v>3856.1</v>
      </c>
      <c r="C280" s="3">
        <f t="shared" si="9"/>
        <v>-4.1012608536201397E-3</v>
      </c>
      <c r="D280">
        <f>MONTH(tbl_SP500_Clean[[#This Row],[observation_date]])</f>
        <v>11</v>
      </c>
      <c r="E280" t="str">
        <f t="shared" si="10"/>
        <v>No</v>
      </c>
    </row>
    <row r="281" spans="1:5" hidden="1" x14ac:dyDescent="0.25">
      <c r="A281" s="1">
        <v>44867</v>
      </c>
      <c r="B281">
        <v>3759.69</v>
      </c>
      <c r="C281" s="3">
        <f t="shared" si="9"/>
        <v>-2.500194497030675E-2</v>
      </c>
      <c r="D281">
        <f>MONTH(tbl_SP500_Clean[[#This Row],[observation_date]])</f>
        <v>11</v>
      </c>
      <c r="E281" t="str">
        <f t="shared" si="10"/>
        <v>No</v>
      </c>
    </row>
    <row r="282" spans="1:5" hidden="1" x14ac:dyDescent="0.25">
      <c r="A282" s="1">
        <v>44868</v>
      </c>
      <c r="B282">
        <v>3719.89</v>
      </c>
      <c r="C282" s="3">
        <f t="shared" si="9"/>
        <v>-1.0585979163175736E-2</v>
      </c>
      <c r="D282">
        <f>MONTH(tbl_SP500_Clean[[#This Row],[observation_date]])</f>
        <v>11</v>
      </c>
      <c r="E282" t="str">
        <f t="shared" si="10"/>
        <v>No</v>
      </c>
    </row>
    <row r="283" spans="1:5" hidden="1" x14ac:dyDescent="0.25">
      <c r="A283" s="1">
        <v>44869</v>
      </c>
      <c r="B283">
        <v>3770.55</v>
      </c>
      <c r="C283" s="3">
        <f t="shared" si="9"/>
        <v>1.3618682272862991E-2</v>
      </c>
      <c r="D283">
        <f>MONTH(tbl_SP500_Clean[[#This Row],[observation_date]])</f>
        <v>11</v>
      </c>
      <c r="E283" t="str">
        <f t="shared" si="10"/>
        <v>No</v>
      </c>
    </row>
    <row r="284" spans="1:5" hidden="1" x14ac:dyDescent="0.25">
      <c r="A284" s="1">
        <v>44872</v>
      </c>
      <c r="B284">
        <v>3806.8</v>
      </c>
      <c r="C284" s="3">
        <f t="shared" si="9"/>
        <v>9.613982045059739E-3</v>
      </c>
      <c r="D284">
        <f>MONTH(tbl_SP500_Clean[[#This Row],[observation_date]])</f>
        <v>11</v>
      </c>
      <c r="E284" t="str">
        <f t="shared" si="10"/>
        <v>No</v>
      </c>
    </row>
    <row r="285" spans="1:5" hidden="1" x14ac:dyDescent="0.25">
      <c r="A285" s="1">
        <v>44873</v>
      </c>
      <c r="B285">
        <v>3828.11</v>
      </c>
      <c r="C285" s="3">
        <f t="shared" si="9"/>
        <v>5.5978774823999015E-3</v>
      </c>
      <c r="D285">
        <f>MONTH(tbl_SP500_Clean[[#This Row],[observation_date]])</f>
        <v>11</v>
      </c>
      <c r="E285" t="str">
        <f t="shared" si="10"/>
        <v>No</v>
      </c>
    </row>
    <row r="286" spans="1:5" hidden="1" x14ac:dyDescent="0.25">
      <c r="A286" s="1">
        <v>44874</v>
      </c>
      <c r="B286">
        <v>3748.57</v>
      </c>
      <c r="C286" s="3">
        <f t="shared" si="9"/>
        <v>-2.0777877333723421E-2</v>
      </c>
      <c r="D286">
        <f>MONTH(tbl_SP500_Clean[[#This Row],[observation_date]])</f>
        <v>11</v>
      </c>
      <c r="E286" t="str">
        <f t="shared" si="10"/>
        <v>No</v>
      </c>
    </row>
    <row r="287" spans="1:5" hidden="1" x14ac:dyDescent="0.25">
      <c r="A287" s="1">
        <v>44875</v>
      </c>
      <c r="B287">
        <v>3956.37</v>
      </c>
      <c r="C287" s="3">
        <f t="shared" si="9"/>
        <v>5.5434472345454323E-2</v>
      </c>
      <c r="D287">
        <f>MONTH(tbl_SP500_Clean[[#This Row],[observation_date]])</f>
        <v>11</v>
      </c>
      <c r="E287" t="str">
        <f t="shared" si="10"/>
        <v>No</v>
      </c>
    </row>
    <row r="288" spans="1:5" hidden="1" x14ac:dyDescent="0.25">
      <c r="A288" s="1">
        <v>44876</v>
      </c>
      <c r="B288">
        <v>3992.93</v>
      </c>
      <c r="C288" s="3">
        <f t="shared" si="9"/>
        <v>9.2407939601199963E-3</v>
      </c>
      <c r="D288">
        <f>MONTH(tbl_SP500_Clean[[#This Row],[observation_date]])</f>
        <v>11</v>
      </c>
      <c r="E288" t="str">
        <f t="shared" si="10"/>
        <v>No</v>
      </c>
    </row>
    <row r="289" spans="1:5" hidden="1" x14ac:dyDescent="0.25">
      <c r="A289" s="1">
        <v>44879</v>
      </c>
      <c r="B289">
        <v>3957.25</v>
      </c>
      <c r="C289" s="3">
        <f t="shared" si="9"/>
        <v>-8.9357940159231035E-3</v>
      </c>
      <c r="D289">
        <f>MONTH(tbl_SP500_Clean[[#This Row],[observation_date]])</f>
        <v>11</v>
      </c>
      <c r="E289" t="str">
        <f t="shared" si="10"/>
        <v>No</v>
      </c>
    </row>
    <row r="290" spans="1:5" hidden="1" x14ac:dyDescent="0.25">
      <c r="A290" s="1">
        <v>44880</v>
      </c>
      <c r="B290">
        <v>3991.73</v>
      </c>
      <c r="C290" s="3">
        <f t="shared" si="9"/>
        <v>8.7131214858803506E-3</v>
      </c>
      <c r="D290">
        <f>MONTH(tbl_SP500_Clean[[#This Row],[observation_date]])</f>
        <v>11</v>
      </c>
      <c r="E290" t="str">
        <f t="shared" si="10"/>
        <v>No</v>
      </c>
    </row>
    <row r="291" spans="1:5" hidden="1" x14ac:dyDescent="0.25">
      <c r="A291" s="1">
        <v>44881</v>
      </c>
      <c r="B291">
        <v>3958.79</v>
      </c>
      <c r="C291" s="3">
        <f t="shared" si="9"/>
        <v>-8.2520611363995199E-3</v>
      </c>
      <c r="D291">
        <f>MONTH(tbl_SP500_Clean[[#This Row],[observation_date]])</f>
        <v>11</v>
      </c>
      <c r="E291" t="str">
        <f t="shared" si="10"/>
        <v>No</v>
      </c>
    </row>
    <row r="292" spans="1:5" hidden="1" x14ac:dyDescent="0.25">
      <c r="A292" s="1">
        <v>44882</v>
      </c>
      <c r="B292">
        <v>3946.56</v>
      </c>
      <c r="C292" s="3">
        <f t="shared" si="9"/>
        <v>-3.0893277996559602E-3</v>
      </c>
      <c r="D292">
        <f>MONTH(tbl_SP500_Clean[[#This Row],[observation_date]])</f>
        <v>11</v>
      </c>
      <c r="E292" t="str">
        <f t="shared" si="10"/>
        <v>No</v>
      </c>
    </row>
    <row r="293" spans="1:5" hidden="1" x14ac:dyDescent="0.25">
      <c r="A293" s="1">
        <v>44883</v>
      </c>
      <c r="B293">
        <v>3965.34</v>
      </c>
      <c r="C293" s="3">
        <f t="shared" si="9"/>
        <v>4.7585745560691341E-3</v>
      </c>
      <c r="D293">
        <f>MONTH(tbl_SP500_Clean[[#This Row],[observation_date]])</f>
        <v>11</v>
      </c>
      <c r="E293" t="str">
        <f t="shared" si="10"/>
        <v>No</v>
      </c>
    </row>
    <row r="294" spans="1:5" hidden="1" x14ac:dyDescent="0.25">
      <c r="A294" s="1">
        <v>44886</v>
      </c>
      <c r="B294">
        <v>3949.94</v>
      </c>
      <c r="C294" s="3">
        <f t="shared" si="9"/>
        <v>-3.8836518432215374E-3</v>
      </c>
      <c r="D294">
        <f>MONTH(tbl_SP500_Clean[[#This Row],[observation_date]])</f>
        <v>11</v>
      </c>
      <c r="E294" t="str">
        <f t="shared" si="10"/>
        <v>No</v>
      </c>
    </row>
    <row r="295" spans="1:5" hidden="1" x14ac:dyDescent="0.25">
      <c r="A295" s="1">
        <v>44887</v>
      </c>
      <c r="B295">
        <v>4003.58</v>
      </c>
      <c r="C295" s="3">
        <f t="shared" si="9"/>
        <v>1.3579953113211814E-2</v>
      </c>
      <c r="D295">
        <f>MONTH(tbl_SP500_Clean[[#This Row],[observation_date]])</f>
        <v>11</v>
      </c>
      <c r="E295" t="str">
        <f t="shared" si="10"/>
        <v>No</v>
      </c>
    </row>
    <row r="296" spans="1:5" hidden="1" x14ac:dyDescent="0.25">
      <c r="A296" s="1">
        <v>44888</v>
      </c>
      <c r="B296">
        <v>4027.26</v>
      </c>
      <c r="C296" s="3">
        <f t="shared" si="9"/>
        <v>5.9147063378277168E-3</v>
      </c>
      <c r="D296">
        <f>MONTH(tbl_SP500_Clean[[#This Row],[observation_date]])</f>
        <v>11</v>
      </c>
      <c r="E296" t="str">
        <f t="shared" si="10"/>
        <v>No</v>
      </c>
    </row>
    <row r="297" spans="1:5" hidden="1" x14ac:dyDescent="0.25">
      <c r="A297" s="1">
        <v>44889</v>
      </c>
      <c r="C297">
        <f t="shared" si="9"/>
        <v>-1</v>
      </c>
      <c r="D297">
        <f>MONTH(tbl_SP500_Clean[[#This Row],[observation_date]])</f>
        <v>11</v>
      </c>
      <c r="E297" t="str">
        <f t="shared" si="10"/>
        <v>No</v>
      </c>
    </row>
    <row r="298" spans="1:5" hidden="1" x14ac:dyDescent="0.25">
      <c r="A298" s="1">
        <v>44890</v>
      </c>
      <c r="B298">
        <v>4026.12</v>
      </c>
      <c r="C298" s="3" t="e">
        <f t="shared" si="9"/>
        <v>#DIV/0!</v>
      </c>
      <c r="D298">
        <f>MONTH(tbl_SP500_Clean[[#This Row],[observation_date]])</f>
        <v>11</v>
      </c>
      <c r="E298" t="str">
        <f t="shared" si="10"/>
        <v>No</v>
      </c>
    </row>
    <row r="299" spans="1:5" hidden="1" x14ac:dyDescent="0.25">
      <c r="A299" s="1">
        <v>44893</v>
      </c>
      <c r="B299">
        <v>3963.94</v>
      </c>
      <c r="C299" s="3">
        <f t="shared" si="9"/>
        <v>-1.5444149702443007E-2</v>
      </c>
      <c r="D299">
        <f>MONTH(tbl_SP500_Clean[[#This Row],[observation_date]])</f>
        <v>11</v>
      </c>
      <c r="E299" t="str">
        <f t="shared" si="10"/>
        <v>No</v>
      </c>
    </row>
    <row r="300" spans="1:5" hidden="1" x14ac:dyDescent="0.25">
      <c r="A300" s="1">
        <v>44894</v>
      </c>
      <c r="B300">
        <v>3957.63</v>
      </c>
      <c r="C300" s="3">
        <f t="shared" si="9"/>
        <v>-1.5918505325509329E-3</v>
      </c>
      <c r="D300">
        <f>MONTH(tbl_SP500_Clean[[#This Row],[observation_date]])</f>
        <v>11</v>
      </c>
      <c r="E300" t="str">
        <f t="shared" si="10"/>
        <v>No</v>
      </c>
    </row>
    <row r="301" spans="1:5" x14ac:dyDescent="0.25">
      <c r="A301" s="1">
        <v>44895</v>
      </c>
      <c r="B301">
        <v>4080.11</v>
      </c>
      <c r="C301" s="3">
        <f t="shared" si="9"/>
        <v>3.094781472750106E-2</v>
      </c>
      <c r="D301">
        <f>MONTH(tbl_SP500_Clean[[#This Row],[observation_date]])</f>
        <v>11</v>
      </c>
      <c r="E301" t="str">
        <f t="shared" si="10"/>
        <v>Yes</v>
      </c>
    </row>
    <row r="302" spans="1:5" hidden="1" x14ac:dyDescent="0.25">
      <c r="A302" s="1">
        <v>44896</v>
      </c>
      <c r="B302">
        <v>4076.57</v>
      </c>
      <c r="C302" s="3">
        <f t="shared" si="9"/>
        <v>-8.6762366700896877E-4</v>
      </c>
      <c r="D302">
        <f>MONTH(tbl_SP500_Clean[[#This Row],[observation_date]])</f>
        <v>12</v>
      </c>
      <c r="E302" t="str">
        <f t="shared" si="10"/>
        <v>No</v>
      </c>
    </row>
    <row r="303" spans="1:5" hidden="1" x14ac:dyDescent="0.25">
      <c r="A303" s="1">
        <v>44897</v>
      </c>
      <c r="B303">
        <v>4071.7</v>
      </c>
      <c r="C303" s="3">
        <f t="shared" si="9"/>
        <v>-1.1946317615054679E-3</v>
      </c>
      <c r="D303">
        <f>MONTH(tbl_SP500_Clean[[#This Row],[observation_date]])</f>
        <v>12</v>
      </c>
      <c r="E303" t="str">
        <f t="shared" si="10"/>
        <v>No</v>
      </c>
    </row>
    <row r="304" spans="1:5" hidden="1" x14ac:dyDescent="0.25">
      <c r="A304" s="1">
        <v>44900</v>
      </c>
      <c r="B304">
        <v>3998.84</v>
      </c>
      <c r="C304" s="3">
        <f t="shared" si="9"/>
        <v>-1.7894245646781364E-2</v>
      </c>
      <c r="D304">
        <f>MONTH(tbl_SP500_Clean[[#This Row],[observation_date]])</f>
        <v>12</v>
      </c>
      <c r="E304" t="str">
        <f t="shared" si="10"/>
        <v>No</v>
      </c>
    </row>
    <row r="305" spans="1:5" hidden="1" x14ac:dyDescent="0.25">
      <c r="A305" s="1">
        <v>44901</v>
      </c>
      <c r="B305">
        <v>3941.26</v>
      </c>
      <c r="C305" s="3">
        <f t="shared" si="9"/>
        <v>-1.4399175760970663E-2</v>
      </c>
      <c r="D305">
        <f>MONTH(tbl_SP500_Clean[[#This Row],[observation_date]])</f>
        <v>12</v>
      </c>
      <c r="E305" t="str">
        <f t="shared" si="10"/>
        <v>No</v>
      </c>
    </row>
    <row r="306" spans="1:5" hidden="1" x14ac:dyDescent="0.25">
      <c r="A306" s="1">
        <v>44902</v>
      </c>
      <c r="B306">
        <v>3933.92</v>
      </c>
      <c r="C306" s="3">
        <f t="shared" si="9"/>
        <v>-1.8623485890299409E-3</v>
      </c>
      <c r="D306">
        <f>MONTH(tbl_SP500_Clean[[#This Row],[observation_date]])</f>
        <v>12</v>
      </c>
      <c r="E306" t="str">
        <f t="shared" si="10"/>
        <v>No</v>
      </c>
    </row>
    <row r="307" spans="1:5" hidden="1" x14ac:dyDescent="0.25">
      <c r="A307" s="1">
        <v>44903</v>
      </c>
      <c r="B307">
        <v>3963.51</v>
      </c>
      <c r="C307" s="3">
        <f t="shared" si="9"/>
        <v>7.5217594663847115E-3</v>
      </c>
      <c r="D307">
        <f>MONTH(tbl_SP500_Clean[[#This Row],[observation_date]])</f>
        <v>12</v>
      </c>
      <c r="E307" t="str">
        <f t="shared" si="10"/>
        <v>No</v>
      </c>
    </row>
    <row r="308" spans="1:5" hidden="1" x14ac:dyDescent="0.25">
      <c r="A308" s="1">
        <v>44904</v>
      </c>
      <c r="B308">
        <v>3934.38</v>
      </c>
      <c r="C308" s="3">
        <f t="shared" si="9"/>
        <v>-7.349546235533683E-3</v>
      </c>
      <c r="D308">
        <f>MONTH(tbl_SP500_Clean[[#This Row],[observation_date]])</f>
        <v>12</v>
      </c>
      <c r="E308" t="str">
        <f t="shared" si="10"/>
        <v>No</v>
      </c>
    </row>
    <row r="309" spans="1:5" hidden="1" x14ac:dyDescent="0.25">
      <c r="A309" s="1">
        <v>44907</v>
      </c>
      <c r="B309">
        <v>3990.56</v>
      </c>
      <c r="C309" s="3">
        <f t="shared" si="9"/>
        <v>1.4279251114533887E-2</v>
      </c>
      <c r="D309">
        <f>MONTH(tbl_SP500_Clean[[#This Row],[observation_date]])</f>
        <v>12</v>
      </c>
      <c r="E309" t="str">
        <f t="shared" si="10"/>
        <v>No</v>
      </c>
    </row>
    <row r="310" spans="1:5" hidden="1" x14ac:dyDescent="0.25">
      <c r="A310" s="1">
        <v>44908</v>
      </c>
      <c r="B310">
        <v>4019.65</v>
      </c>
      <c r="C310" s="3">
        <f t="shared" si="9"/>
        <v>7.2897037007337686E-3</v>
      </c>
      <c r="D310">
        <f>MONTH(tbl_SP500_Clean[[#This Row],[observation_date]])</f>
        <v>12</v>
      </c>
      <c r="E310" t="str">
        <f t="shared" si="10"/>
        <v>No</v>
      </c>
    </row>
    <row r="311" spans="1:5" hidden="1" x14ac:dyDescent="0.25">
      <c r="A311" s="1">
        <v>44909</v>
      </c>
      <c r="B311">
        <v>3995.32</v>
      </c>
      <c r="C311" s="3">
        <f t="shared" si="9"/>
        <v>-6.052765788066107E-3</v>
      </c>
      <c r="D311">
        <f>MONTH(tbl_SP500_Clean[[#This Row],[observation_date]])</f>
        <v>12</v>
      </c>
      <c r="E311" t="str">
        <f t="shared" si="10"/>
        <v>No</v>
      </c>
    </row>
    <row r="312" spans="1:5" hidden="1" x14ac:dyDescent="0.25">
      <c r="A312" s="1">
        <v>44910</v>
      </c>
      <c r="B312">
        <v>3895.75</v>
      </c>
      <c r="C312" s="3">
        <f t="shared" si="9"/>
        <v>-2.492165834025814E-2</v>
      </c>
      <c r="D312">
        <f>MONTH(tbl_SP500_Clean[[#This Row],[observation_date]])</f>
        <v>12</v>
      </c>
      <c r="E312" t="str">
        <f t="shared" si="10"/>
        <v>No</v>
      </c>
    </row>
    <row r="313" spans="1:5" hidden="1" x14ac:dyDescent="0.25">
      <c r="A313" s="1">
        <v>44911</v>
      </c>
      <c r="B313">
        <v>3852.36</v>
      </c>
      <c r="C313" s="3">
        <f t="shared" si="9"/>
        <v>-1.1137778348199928E-2</v>
      </c>
      <c r="D313">
        <f>MONTH(tbl_SP500_Clean[[#This Row],[observation_date]])</f>
        <v>12</v>
      </c>
      <c r="E313" t="str">
        <f t="shared" si="10"/>
        <v>No</v>
      </c>
    </row>
    <row r="314" spans="1:5" hidden="1" x14ac:dyDescent="0.25">
      <c r="A314" s="1">
        <v>44914</v>
      </c>
      <c r="B314">
        <v>3817.66</v>
      </c>
      <c r="C314" s="3">
        <f t="shared" si="9"/>
        <v>-9.007465553582809E-3</v>
      </c>
      <c r="D314">
        <f>MONTH(tbl_SP500_Clean[[#This Row],[observation_date]])</f>
        <v>12</v>
      </c>
      <c r="E314" t="str">
        <f t="shared" si="10"/>
        <v>No</v>
      </c>
    </row>
    <row r="315" spans="1:5" hidden="1" x14ac:dyDescent="0.25">
      <c r="A315" s="1">
        <v>44915</v>
      </c>
      <c r="B315">
        <v>3821.62</v>
      </c>
      <c r="C315" s="3">
        <f t="shared" si="9"/>
        <v>1.0372846193741811E-3</v>
      </c>
      <c r="D315">
        <f>MONTH(tbl_SP500_Clean[[#This Row],[observation_date]])</f>
        <v>12</v>
      </c>
      <c r="E315" t="str">
        <f t="shared" si="10"/>
        <v>No</v>
      </c>
    </row>
    <row r="316" spans="1:5" hidden="1" x14ac:dyDescent="0.25">
      <c r="A316" s="1">
        <v>44916</v>
      </c>
      <c r="B316">
        <v>3878.44</v>
      </c>
      <c r="C316" s="3">
        <f t="shared" si="9"/>
        <v>1.4868040255179784E-2</v>
      </c>
      <c r="D316">
        <f>MONTH(tbl_SP500_Clean[[#This Row],[observation_date]])</f>
        <v>12</v>
      </c>
      <c r="E316" t="str">
        <f t="shared" si="10"/>
        <v>No</v>
      </c>
    </row>
    <row r="317" spans="1:5" hidden="1" x14ac:dyDescent="0.25">
      <c r="A317" s="1">
        <v>44917</v>
      </c>
      <c r="B317">
        <v>3822.39</v>
      </c>
      <c r="C317" s="3">
        <f t="shared" si="9"/>
        <v>-1.4451686760656394E-2</v>
      </c>
      <c r="D317">
        <f>MONTH(tbl_SP500_Clean[[#This Row],[observation_date]])</f>
        <v>12</v>
      </c>
      <c r="E317" t="str">
        <f t="shared" si="10"/>
        <v>No</v>
      </c>
    </row>
    <row r="318" spans="1:5" hidden="1" x14ac:dyDescent="0.25">
      <c r="A318" s="1">
        <v>44918</v>
      </c>
      <c r="B318">
        <v>3844.82</v>
      </c>
      <c r="C318" s="3">
        <f t="shared" si="9"/>
        <v>5.8680563731069542E-3</v>
      </c>
      <c r="D318">
        <f>MONTH(tbl_SP500_Clean[[#This Row],[observation_date]])</f>
        <v>12</v>
      </c>
      <c r="E318" t="str">
        <f t="shared" si="10"/>
        <v>No</v>
      </c>
    </row>
    <row r="319" spans="1:5" hidden="1" x14ac:dyDescent="0.25">
      <c r="A319" s="1">
        <v>44921</v>
      </c>
      <c r="C319">
        <f t="shared" si="9"/>
        <v>-1</v>
      </c>
      <c r="D319">
        <f>MONTH(tbl_SP500_Clean[[#This Row],[observation_date]])</f>
        <v>12</v>
      </c>
      <c r="E319" t="str">
        <f t="shared" si="10"/>
        <v>No</v>
      </c>
    </row>
    <row r="320" spans="1:5" hidden="1" x14ac:dyDescent="0.25">
      <c r="A320" s="1">
        <v>44922</v>
      </c>
      <c r="B320">
        <v>3829.25</v>
      </c>
      <c r="C320" s="3" t="e">
        <f t="shared" si="9"/>
        <v>#DIV/0!</v>
      </c>
      <c r="D320">
        <f>MONTH(tbl_SP500_Clean[[#This Row],[observation_date]])</f>
        <v>12</v>
      </c>
      <c r="E320" t="str">
        <f t="shared" si="10"/>
        <v>No</v>
      </c>
    </row>
    <row r="321" spans="1:5" hidden="1" x14ac:dyDescent="0.25">
      <c r="A321" s="1">
        <v>44923</v>
      </c>
      <c r="B321">
        <v>3783.22</v>
      </c>
      <c r="C321" s="3">
        <f t="shared" si="9"/>
        <v>-1.2020630671802625E-2</v>
      </c>
      <c r="D321">
        <f>MONTH(tbl_SP500_Clean[[#This Row],[observation_date]])</f>
        <v>12</v>
      </c>
      <c r="E321" t="str">
        <f t="shared" si="10"/>
        <v>No</v>
      </c>
    </row>
    <row r="322" spans="1:5" hidden="1" x14ac:dyDescent="0.25">
      <c r="A322" s="1">
        <v>44924</v>
      </c>
      <c r="B322">
        <v>3849.28</v>
      </c>
      <c r="C322" s="3">
        <f t="shared" ref="C322:C385" si="11">(B322-B321)/B321</f>
        <v>1.7461316021801641E-2</v>
      </c>
      <c r="D322">
        <f>MONTH(tbl_SP500_Clean[[#This Row],[observation_date]])</f>
        <v>12</v>
      </c>
      <c r="E322" t="str">
        <f t="shared" ref="E322:E385" si="12">IF(D322&lt;&gt;D323,"Yes","No")</f>
        <v>No</v>
      </c>
    </row>
    <row r="323" spans="1:5" x14ac:dyDescent="0.25">
      <c r="A323" s="1">
        <v>44925</v>
      </c>
      <c r="B323">
        <v>3839.5</v>
      </c>
      <c r="C323" s="3">
        <f t="shared" si="11"/>
        <v>-2.5407348906809064E-3</v>
      </c>
      <c r="D323">
        <f>MONTH(tbl_SP500_Clean[[#This Row],[observation_date]])</f>
        <v>12</v>
      </c>
      <c r="E323" t="str">
        <f t="shared" si="12"/>
        <v>Yes</v>
      </c>
    </row>
    <row r="324" spans="1:5" hidden="1" x14ac:dyDescent="0.25">
      <c r="A324" s="1">
        <v>44928</v>
      </c>
      <c r="C324">
        <f t="shared" si="11"/>
        <v>-1</v>
      </c>
      <c r="D324">
        <f>MONTH(tbl_SP500_Clean[[#This Row],[observation_date]])</f>
        <v>1</v>
      </c>
      <c r="E324" t="str">
        <f t="shared" si="12"/>
        <v>No</v>
      </c>
    </row>
    <row r="325" spans="1:5" hidden="1" x14ac:dyDescent="0.25">
      <c r="A325" s="1">
        <v>44929</v>
      </c>
      <c r="B325">
        <v>3824.14</v>
      </c>
      <c r="C325" s="3" t="e">
        <f t="shared" si="11"/>
        <v>#DIV/0!</v>
      </c>
      <c r="D325">
        <f>MONTH(tbl_SP500_Clean[[#This Row],[observation_date]])</f>
        <v>1</v>
      </c>
      <c r="E325" t="str">
        <f t="shared" si="12"/>
        <v>No</v>
      </c>
    </row>
    <row r="326" spans="1:5" hidden="1" x14ac:dyDescent="0.25">
      <c r="A326" s="1">
        <v>44930</v>
      </c>
      <c r="B326">
        <v>3852.97</v>
      </c>
      <c r="C326" s="3">
        <f t="shared" si="11"/>
        <v>7.5389499338413156E-3</v>
      </c>
      <c r="D326">
        <f>MONTH(tbl_SP500_Clean[[#This Row],[observation_date]])</f>
        <v>1</v>
      </c>
      <c r="E326" t="str">
        <f t="shared" si="12"/>
        <v>No</v>
      </c>
    </row>
    <row r="327" spans="1:5" hidden="1" x14ac:dyDescent="0.25">
      <c r="A327" s="1">
        <v>44931</v>
      </c>
      <c r="B327">
        <v>3808.1</v>
      </c>
      <c r="C327" s="3">
        <f t="shared" si="11"/>
        <v>-1.1645561735492332E-2</v>
      </c>
      <c r="D327">
        <f>MONTH(tbl_SP500_Clean[[#This Row],[observation_date]])</f>
        <v>1</v>
      </c>
      <c r="E327" t="str">
        <f t="shared" si="12"/>
        <v>No</v>
      </c>
    </row>
    <row r="328" spans="1:5" hidden="1" x14ac:dyDescent="0.25">
      <c r="A328" s="1">
        <v>44932</v>
      </c>
      <c r="B328">
        <v>3895.08</v>
      </c>
      <c r="C328" s="3">
        <f t="shared" si="11"/>
        <v>2.2840786744045591E-2</v>
      </c>
      <c r="D328">
        <f>MONTH(tbl_SP500_Clean[[#This Row],[observation_date]])</f>
        <v>1</v>
      </c>
      <c r="E328" t="str">
        <f t="shared" si="12"/>
        <v>No</v>
      </c>
    </row>
    <row r="329" spans="1:5" hidden="1" x14ac:dyDescent="0.25">
      <c r="A329" s="1">
        <v>44935</v>
      </c>
      <c r="B329">
        <v>3892.09</v>
      </c>
      <c r="C329" s="3">
        <f t="shared" si="11"/>
        <v>-7.6763506782910281E-4</v>
      </c>
      <c r="D329">
        <f>MONTH(tbl_SP500_Clean[[#This Row],[observation_date]])</f>
        <v>1</v>
      </c>
      <c r="E329" t="str">
        <f t="shared" si="12"/>
        <v>No</v>
      </c>
    </row>
    <row r="330" spans="1:5" hidden="1" x14ac:dyDescent="0.25">
      <c r="A330" s="1">
        <v>44936</v>
      </c>
      <c r="B330">
        <v>3919.25</v>
      </c>
      <c r="C330" s="3">
        <f t="shared" si="11"/>
        <v>6.9782558985017956E-3</v>
      </c>
      <c r="D330">
        <f>MONTH(tbl_SP500_Clean[[#This Row],[observation_date]])</f>
        <v>1</v>
      </c>
      <c r="E330" t="str">
        <f t="shared" si="12"/>
        <v>No</v>
      </c>
    </row>
    <row r="331" spans="1:5" hidden="1" x14ac:dyDescent="0.25">
      <c r="A331" s="1">
        <v>44937</v>
      </c>
      <c r="B331">
        <v>3969.61</v>
      </c>
      <c r="C331" s="3">
        <f t="shared" si="11"/>
        <v>1.2849397206098139E-2</v>
      </c>
      <c r="D331">
        <f>MONTH(tbl_SP500_Clean[[#This Row],[observation_date]])</f>
        <v>1</v>
      </c>
      <c r="E331" t="str">
        <f t="shared" si="12"/>
        <v>No</v>
      </c>
    </row>
    <row r="332" spans="1:5" hidden="1" x14ac:dyDescent="0.25">
      <c r="A332" s="1">
        <v>44938</v>
      </c>
      <c r="B332">
        <v>3983.17</v>
      </c>
      <c r="C332" s="3">
        <f t="shared" si="11"/>
        <v>3.4159527006431224E-3</v>
      </c>
      <c r="D332">
        <f>MONTH(tbl_SP500_Clean[[#This Row],[observation_date]])</f>
        <v>1</v>
      </c>
      <c r="E332" t="str">
        <f t="shared" si="12"/>
        <v>No</v>
      </c>
    </row>
    <row r="333" spans="1:5" hidden="1" x14ac:dyDescent="0.25">
      <c r="A333" s="1">
        <v>44939</v>
      </c>
      <c r="B333">
        <v>3999.09</v>
      </c>
      <c r="C333" s="3">
        <f t="shared" si="11"/>
        <v>3.9968166058692127E-3</v>
      </c>
      <c r="D333">
        <f>MONTH(tbl_SP500_Clean[[#This Row],[observation_date]])</f>
        <v>1</v>
      </c>
      <c r="E333" t="str">
        <f t="shared" si="12"/>
        <v>No</v>
      </c>
    </row>
    <row r="334" spans="1:5" hidden="1" x14ac:dyDescent="0.25">
      <c r="A334" s="1">
        <v>44942</v>
      </c>
      <c r="C334">
        <f t="shared" si="11"/>
        <v>-1</v>
      </c>
      <c r="D334">
        <f>MONTH(tbl_SP500_Clean[[#This Row],[observation_date]])</f>
        <v>1</v>
      </c>
      <c r="E334" t="str">
        <f t="shared" si="12"/>
        <v>No</v>
      </c>
    </row>
    <row r="335" spans="1:5" hidden="1" x14ac:dyDescent="0.25">
      <c r="A335" s="1">
        <v>44943</v>
      </c>
      <c r="B335">
        <v>3990.97</v>
      </c>
      <c r="C335" s="3" t="e">
        <f t="shared" si="11"/>
        <v>#DIV/0!</v>
      </c>
      <c r="D335">
        <f>MONTH(tbl_SP500_Clean[[#This Row],[observation_date]])</f>
        <v>1</v>
      </c>
      <c r="E335" t="str">
        <f t="shared" si="12"/>
        <v>No</v>
      </c>
    </row>
    <row r="336" spans="1:5" hidden="1" x14ac:dyDescent="0.25">
      <c r="A336" s="1">
        <v>44944</v>
      </c>
      <c r="B336">
        <v>3928.86</v>
      </c>
      <c r="C336" s="3">
        <f t="shared" si="11"/>
        <v>-1.5562632643191925E-2</v>
      </c>
      <c r="D336">
        <f>MONTH(tbl_SP500_Clean[[#This Row],[observation_date]])</f>
        <v>1</v>
      </c>
      <c r="E336" t="str">
        <f t="shared" si="12"/>
        <v>No</v>
      </c>
    </row>
    <row r="337" spans="1:5" hidden="1" x14ac:dyDescent="0.25">
      <c r="A337" s="1">
        <v>44945</v>
      </c>
      <c r="B337">
        <v>3898.85</v>
      </c>
      <c r="C337" s="3">
        <f t="shared" si="11"/>
        <v>-7.6383480195273482E-3</v>
      </c>
      <c r="D337">
        <f>MONTH(tbl_SP500_Clean[[#This Row],[observation_date]])</f>
        <v>1</v>
      </c>
      <c r="E337" t="str">
        <f t="shared" si="12"/>
        <v>No</v>
      </c>
    </row>
    <row r="338" spans="1:5" hidden="1" x14ac:dyDescent="0.25">
      <c r="A338" s="1">
        <v>44946</v>
      </c>
      <c r="B338">
        <v>3972.61</v>
      </c>
      <c r="C338" s="3">
        <f t="shared" si="11"/>
        <v>1.8918399015094251E-2</v>
      </c>
      <c r="D338">
        <f>MONTH(tbl_SP500_Clean[[#This Row],[observation_date]])</f>
        <v>1</v>
      </c>
      <c r="E338" t="str">
        <f t="shared" si="12"/>
        <v>No</v>
      </c>
    </row>
    <row r="339" spans="1:5" hidden="1" x14ac:dyDescent="0.25">
      <c r="A339" s="1">
        <v>44949</v>
      </c>
      <c r="B339">
        <v>4019.81</v>
      </c>
      <c r="C339" s="3">
        <f t="shared" si="11"/>
        <v>1.188135759613952E-2</v>
      </c>
      <c r="D339">
        <f>MONTH(tbl_SP500_Clean[[#This Row],[observation_date]])</f>
        <v>1</v>
      </c>
      <c r="E339" t="str">
        <f t="shared" si="12"/>
        <v>No</v>
      </c>
    </row>
    <row r="340" spans="1:5" hidden="1" x14ac:dyDescent="0.25">
      <c r="A340" s="1">
        <v>44950</v>
      </c>
      <c r="B340">
        <v>4016.95</v>
      </c>
      <c r="C340" s="3">
        <f t="shared" si="11"/>
        <v>-7.1147641306433074E-4</v>
      </c>
      <c r="D340">
        <f>MONTH(tbl_SP500_Clean[[#This Row],[observation_date]])</f>
        <v>1</v>
      </c>
      <c r="E340" t="str">
        <f t="shared" si="12"/>
        <v>No</v>
      </c>
    </row>
    <row r="341" spans="1:5" hidden="1" x14ac:dyDescent="0.25">
      <c r="A341" s="1">
        <v>44951</v>
      </c>
      <c r="B341">
        <v>4016.22</v>
      </c>
      <c r="C341" s="3">
        <f t="shared" si="11"/>
        <v>-1.8172991946626625E-4</v>
      </c>
      <c r="D341">
        <f>MONTH(tbl_SP500_Clean[[#This Row],[observation_date]])</f>
        <v>1</v>
      </c>
      <c r="E341" t="str">
        <f t="shared" si="12"/>
        <v>No</v>
      </c>
    </row>
    <row r="342" spans="1:5" hidden="1" x14ac:dyDescent="0.25">
      <c r="A342" s="1">
        <v>44952</v>
      </c>
      <c r="B342">
        <v>4060.43</v>
      </c>
      <c r="C342" s="3">
        <f t="shared" si="11"/>
        <v>1.1007863115068408E-2</v>
      </c>
      <c r="D342">
        <f>MONTH(tbl_SP500_Clean[[#This Row],[observation_date]])</f>
        <v>1</v>
      </c>
      <c r="E342" t="str">
        <f t="shared" si="12"/>
        <v>No</v>
      </c>
    </row>
    <row r="343" spans="1:5" hidden="1" x14ac:dyDescent="0.25">
      <c r="A343" s="1">
        <v>44953</v>
      </c>
      <c r="B343">
        <v>4070.56</v>
      </c>
      <c r="C343" s="3">
        <f t="shared" si="11"/>
        <v>2.4948096630160129E-3</v>
      </c>
      <c r="D343">
        <f>MONTH(tbl_SP500_Clean[[#This Row],[observation_date]])</f>
        <v>1</v>
      </c>
      <c r="E343" t="str">
        <f t="shared" si="12"/>
        <v>No</v>
      </c>
    </row>
    <row r="344" spans="1:5" hidden="1" x14ac:dyDescent="0.25">
      <c r="A344" s="1">
        <v>44956</v>
      </c>
      <c r="B344">
        <v>4017.77</v>
      </c>
      <c r="C344" s="3">
        <f t="shared" si="11"/>
        <v>-1.2968731575016696E-2</v>
      </c>
      <c r="D344">
        <f>MONTH(tbl_SP500_Clean[[#This Row],[observation_date]])</f>
        <v>1</v>
      </c>
      <c r="E344" t="str">
        <f t="shared" si="12"/>
        <v>No</v>
      </c>
    </row>
    <row r="345" spans="1:5" x14ac:dyDescent="0.25">
      <c r="A345" s="1">
        <v>44957</v>
      </c>
      <c r="B345">
        <v>4076.6</v>
      </c>
      <c r="C345" s="3">
        <f t="shared" si="11"/>
        <v>1.4642450911824203E-2</v>
      </c>
      <c r="D345">
        <f>MONTH(tbl_SP500_Clean[[#This Row],[observation_date]])</f>
        <v>1</v>
      </c>
      <c r="E345" t="str">
        <f t="shared" si="12"/>
        <v>Yes</v>
      </c>
    </row>
    <row r="346" spans="1:5" hidden="1" x14ac:dyDescent="0.25">
      <c r="A346" s="1">
        <v>44958</v>
      </c>
      <c r="B346">
        <v>4119.21</v>
      </c>
      <c r="C346" s="3">
        <f t="shared" si="11"/>
        <v>1.045233773242411E-2</v>
      </c>
      <c r="D346">
        <f>MONTH(tbl_SP500_Clean[[#This Row],[observation_date]])</f>
        <v>2</v>
      </c>
      <c r="E346" t="str">
        <f t="shared" si="12"/>
        <v>No</v>
      </c>
    </row>
    <row r="347" spans="1:5" hidden="1" x14ac:dyDescent="0.25">
      <c r="A347" s="1">
        <v>44959</v>
      </c>
      <c r="B347">
        <v>4179.76</v>
      </c>
      <c r="C347" s="3">
        <f t="shared" si="11"/>
        <v>1.4699420519954112E-2</v>
      </c>
      <c r="D347">
        <f>MONTH(tbl_SP500_Clean[[#This Row],[observation_date]])</f>
        <v>2</v>
      </c>
      <c r="E347" t="str">
        <f t="shared" si="12"/>
        <v>No</v>
      </c>
    </row>
    <row r="348" spans="1:5" hidden="1" x14ac:dyDescent="0.25">
      <c r="A348" s="1">
        <v>44960</v>
      </c>
      <c r="B348">
        <v>4136.4799999999996</v>
      </c>
      <c r="C348" s="3">
        <f t="shared" si="11"/>
        <v>-1.0354661511665898E-2</v>
      </c>
      <c r="D348">
        <f>MONTH(tbl_SP500_Clean[[#This Row],[observation_date]])</f>
        <v>2</v>
      </c>
      <c r="E348" t="str">
        <f t="shared" si="12"/>
        <v>No</v>
      </c>
    </row>
    <row r="349" spans="1:5" hidden="1" x14ac:dyDescent="0.25">
      <c r="A349" s="1">
        <v>44963</v>
      </c>
      <c r="B349">
        <v>4111.08</v>
      </c>
      <c r="C349" s="3">
        <f t="shared" si="11"/>
        <v>-6.1404865973000329E-3</v>
      </c>
      <c r="D349">
        <f>MONTH(tbl_SP500_Clean[[#This Row],[observation_date]])</f>
        <v>2</v>
      </c>
      <c r="E349" t="str">
        <f t="shared" si="12"/>
        <v>No</v>
      </c>
    </row>
    <row r="350" spans="1:5" hidden="1" x14ac:dyDescent="0.25">
      <c r="A350" s="1">
        <v>44964</v>
      </c>
      <c r="B350">
        <v>4164</v>
      </c>
      <c r="C350" s="3">
        <f t="shared" si="11"/>
        <v>1.2872529846171828E-2</v>
      </c>
      <c r="D350">
        <f>MONTH(tbl_SP500_Clean[[#This Row],[observation_date]])</f>
        <v>2</v>
      </c>
      <c r="E350" t="str">
        <f t="shared" si="12"/>
        <v>No</v>
      </c>
    </row>
    <row r="351" spans="1:5" hidden="1" x14ac:dyDescent="0.25">
      <c r="A351" s="1">
        <v>44965</v>
      </c>
      <c r="B351">
        <v>4117.8599999999997</v>
      </c>
      <c r="C351" s="3">
        <f t="shared" si="11"/>
        <v>-1.1080691642651375E-2</v>
      </c>
      <c r="D351">
        <f>MONTH(tbl_SP500_Clean[[#This Row],[observation_date]])</f>
        <v>2</v>
      </c>
      <c r="E351" t="str">
        <f t="shared" si="12"/>
        <v>No</v>
      </c>
    </row>
    <row r="352" spans="1:5" hidden="1" x14ac:dyDescent="0.25">
      <c r="A352" s="1">
        <v>44966</v>
      </c>
      <c r="B352">
        <v>4081.5</v>
      </c>
      <c r="C352" s="3">
        <f t="shared" si="11"/>
        <v>-8.8298290859814745E-3</v>
      </c>
      <c r="D352">
        <f>MONTH(tbl_SP500_Clean[[#This Row],[observation_date]])</f>
        <v>2</v>
      </c>
      <c r="E352" t="str">
        <f t="shared" si="12"/>
        <v>No</v>
      </c>
    </row>
    <row r="353" spans="1:5" hidden="1" x14ac:dyDescent="0.25">
      <c r="A353" s="1">
        <v>44967</v>
      </c>
      <c r="B353">
        <v>4090.46</v>
      </c>
      <c r="C353" s="3">
        <f t="shared" si="11"/>
        <v>2.1952713463187644E-3</v>
      </c>
      <c r="D353">
        <f>MONTH(tbl_SP500_Clean[[#This Row],[observation_date]])</f>
        <v>2</v>
      </c>
      <c r="E353" t="str">
        <f t="shared" si="12"/>
        <v>No</v>
      </c>
    </row>
    <row r="354" spans="1:5" hidden="1" x14ac:dyDescent="0.25">
      <c r="A354" s="1">
        <v>44970</v>
      </c>
      <c r="B354">
        <v>4137.29</v>
      </c>
      <c r="C354" s="3">
        <f t="shared" si="11"/>
        <v>1.1448590134116927E-2</v>
      </c>
      <c r="D354">
        <f>MONTH(tbl_SP500_Clean[[#This Row],[observation_date]])</f>
        <v>2</v>
      </c>
      <c r="E354" t="str">
        <f t="shared" si="12"/>
        <v>No</v>
      </c>
    </row>
    <row r="355" spans="1:5" hidden="1" x14ac:dyDescent="0.25">
      <c r="A355" s="1">
        <v>44971</v>
      </c>
      <c r="B355">
        <v>4136.13</v>
      </c>
      <c r="C355" s="3">
        <f t="shared" si="11"/>
        <v>-2.8037676836766446E-4</v>
      </c>
      <c r="D355">
        <f>MONTH(tbl_SP500_Clean[[#This Row],[observation_date]])</f>
        <v>2</v>
      </c>
      <c r="E355" t="str">
        <f t="shared" si="12"/>
        <v>No</v>
      </c>
    </row>
    <row r="356" spans="1:5" hidden="1" x14ac:dyDescent="0.25">
      <c r="A356" s="1">
        <v>44972</v>
      </c>
      <c r="B356">
        <v>4147.6000000000004</v>
      </c>
      <c r="C356" s="3">
        <f t="shared" si="11"/>
        <v>2.7731236687435486E-3</v>
      </c>
      <c r="D356">
        <f>MONTH(tbl_SP500_Clean[[#This Row],[observation_date]])</f>
        <v>2</v>
      </c>
      <c r="E356" t="str">
        <f t="shared" si="12"/>
        <v>No</v>
      </c>
    </row>
    <row r="357" spans="1:5" hidden="1" x14ac:dyDescent="0.25">
      <c r="A357" s="1">
        <v>44973</v>
      </c>
      <c r="B357">
        <v>4090.41</v>
      </c>
      <c r="C357" s="3">
        <f t="shared" si="11"/>
        <v>-1.3788697077828264E-2</v>
      </c>
      <c r="D357">
        <f>MONTH(tbl_SP500_Clean[[#This Row],[observation_date]])</f>
        <v>2</v>
      </c>
      <c r="E357" t="str">
        <f t="shared" si="12"/>
        <v>No</v>
      </c>
    </row>
    <row r="358" spans="1:5" hidden="1" x14ac:dyDescent="0.25">
      <c r="A358" s="1">
        <v>44974</v>
      </c>
      <c r="B358">
        <v>4079.09</v>
      </c>
      <c r="C358" s="3">
        <f t="shared" si="11"/>
        <v>-2.7674487398573026E-3</v>
      </c>
      <c r="D358">
        <f>MONTH(tbl_SP500_Clean[[#This Row],[observation_date]])</f>
        <v>2</v>
      </c>
      <c r="E358" t="str">
        <f t="shared" si="12"/>
        <v>No</v>
      </c>
    </row>
    <row r="359" spans="1:5" hidden="1" x14ac:dyDescent="0.25">
      <c r="A359" s="1">
        <v>44977</v>
      </c>
      <c r="C359">
        <f t="shared" si="11"/>
        <v>-1</v>
      </c>
      <c r="D359">
        <f>MONTH(tbl_SP500_Clean[[#This Row],[observation_date]])</f>
        <v>2</v>
      </c>
      <c r="E359" t="str">
        <f t="shared" si="12"/>
        <v>No</v>
      </c>
    </row>
    <row r="360" spans="1:5" hidden="1" x14ac:dyDescent="0.25">
      <c r="A360" s="1">
        <v>44978</v>
      </c>
      <c r="B360">
        <v>3997.34</v>
      </c>
      <c r="C360" s="3" t="e">
        <f t="shared" si="11"/>
        <v>#DIV/0!</v>
      </c>
      <c r="D360">
        <f>MONTH(tbl_SP500_Clean[[#This Row],[observation_date]])</f>
        <v>2</v>
      </c>
      <c r="E360" t="str">
        <f t="shared" si="12"/>
        <v>No</v>
      </c>
    </row>
    <row r="361" spans="1:5" hidden="1" x14ac:dyDescent="0.25">
      <c r="A361" s="1">
        <v>44979</v>
      </c>
      <c r="B361">
        <v>3991.05</v>
      </c>
      <c r="C361" s="3">
        <f t="shared" si="11"/>
        <v>-1.5735464083615513E-3</v>
      </c>
      <c r="D361">
        <f>MONTH(tbl_SP500_Clean[[#This Row],[observation_date]])</f>
        <v>2</v>
      </c>
      <c r="E361" t="str">
        <f t="shared" si="12"/>
        <v>No</v>
      </c>
    </row>
    <row r="362" spans="1:5" hidden="1" x14ac:dyDescent="0.25">
      <c r="A362" s="1">
        <v>44980</v>
      </c>
      <c r="B362">
        <v>4012.32</v>
      </c>
      <c r="C362" s="3">
        <f t="shared" si="11"/>
        <v>5.3294245875145588E-3</v>
      </c>
      <c r="D362">
        <f>MONTH(tbl_SP500_Clean[[#This Row],[observation_date]])</f>
        <v>2</v>
      </c>
      <c r="E362" t="str">
        <f t="shared" si="12"/>
        <v>No</v>
      </c>
    </row>
    <row r="363" spans="1:5" hidden="1" x14ac:dyDescent="0.25">
      <c r="A363" s="1">
        <v>44981</v>
      </c>
      <c r="B363">
        <v>3970.04</v>
      </c>
      <c r="C363" s="3">
        <f t="shared" si="11"/>
        <v>-1.0537544363360898E-2</v>
      </c>
      <c r="D363">
        <f>MONTH(tbl_SP500_Clean[[#This Row],[observation_date]])</f>
        <v>2</v>
      </c>
      <c r="E363" t="str">
        <f t="shared" si="12"/>
        <v>No</v>
      </c>
    </row>
    <row r="364" spans="1:5" hidden="1" x14ac:dyDescent="0.25">
      <c r="A364" s="1">
        <v>44984</v>
      </c>
      <c r="B364">
        <v>3982.24</v>
      </c>
      <c r="C364" s="3">
        <f t="shared" si="11"/>
        <v>3.0730168965551526E-3</v>
      </c>
      <c r="D364">
        <f>MONTH(tbl_SP500_Clean[[#This Row],[observation_date]])</f>
        <v>2</v>
      </c>
      <c r="E364" t="str">
        <f t="shared" si="12"/>
        <v>No</v>
      </c>
    </row>
    <row r="365" spans="1:5" x14ac:dyDescent="0.25">
      <c r="A365" s="1">
        <v>44985</v>
      </c>
      <c r="B365">
        <v>3970.15</v>
      </c>
      <c r="C365" s="3">
        <f t="shared" si="11"/>
        <v>-3.0359797500903239E-3</v>
      </c>
      <c r="D365">
        <f>MONTH(tbl_SP500_Clean[[#This Row],[observation_date]])</f>
        <v>2</v>
      </c>
      <c r="E365" t="str">
        <f t="shared" si="12"/>
        <v>Yes</v>
      </c>
    </row>
    <row r="366" spans="1:5" hidden="1" x14ac:dyDescent="0.25">
      <c r="A366" s="1">
        <v>44986</v>
      </c>
      <c r="B366">
        <v>3951.39</v>
      </c>
      <c r="C366" s="3">
        <f t="shared" si="11"/>
        <v>-4.7252622696875978E-3</v>
      </c>
      <c r="D366">
        <f>MONTH(tbl_SP500_Clean[[#This Row],[observation_date]])</f>
        <v>3</v>
      </c>
      <c r="E366" t="str">
        <f t="shared" si="12"/>
        <v>No</v>
      </c>
    </row>
    <row r="367" spans="1:5" hidden="1" x14ac:dyDescent="0.25">
      <c r="A367" s="1">
        <v>44987</v>
      </c>
      <c r="B367">
        <v>3981.35</v>
      </c>
      <c r="C367" s="3">
        <f t="shared" si="11"/>
        <v>7.5821419804170277E-3</v>
      </c>
      <c r="D367">
        <f>MONTH(tbl_SP500_Clean[[#This Row],[observation_date]])</f>
        <v>3</v>
      </c>
      <c r="E367" t="str">
        <f t="shared" si="12"/>
        <v>No</v>
      </c>
    </row>
    <row r="368" spans="1:5" hidden="1" x14ac:dyDescent="0.25">
      <c r="A368" s="1">
        <v>44988</v>
      </c>
      <c r="B368">
        <v>4045.64</v>
      </c>
      <c r="C368" s="3">
        <f t="shared" si="11"/>
        <v>1.6147789066522655E-2</v>
      </c>
      <c r="D368">
        <f>MONTH(tbl_SP500_Clean[[#This Row],[observation_date]])</f>
        <v>3</v>
      </c>
      <c r="E368" t="str">
        <f t="shared" si="12"/>
        <v>No</v>
      </c>
    </row>
    <row r="369" spans="1:5" hidden="1" x14ac:dyDescent="0.25">
      <c r="A369" s="1">
        <v>44991</v>
      </c>
      <c r="B369">
        <v>4048.42</v>
      </c>
      <c r="C369" s="3">
        <f t="shared" si="11"/>
        <v>6.8715950999105211E-4</v>
      </c>
      <c r="D369">
        <f>MONTH(tbl_SP500_Clean[[#This Row],[observation_date]])</f>
        <v>3</v>
      </c>
      <c r="E369" t="str">
        <f t="shared" si="12"/>
        <v>No</v>
      </c>
    </row>
    <row r="370" spans="1:5" hidden="1" x14ac:dyDescent="0.25">
      <c r="A370" s="1">
        <v>44992</v>
      </c>
      <c r="B370">
        <v>3986.37</v>
      </c>
      <c r="C370" s="3">
        <f t="shared" si="11"/>
        <v>-1.532696706369403E-2</v>
      </c>
      <c r="D370">
        <f>MONTH(tbl_SP500_Clean[[#This Row],[observation_date]])</f>
        <v>3</v>
      </c>
      <c r="E370" t="str">
        <f t="shared" si="12"/>
        <v>No</v>
      </c>
    </row>
    <row r="371" spans="1:5" hidden="1" x14ac:dyDescent="0.25">
      <c r="A371" s="1">
        <v>44993</v>
      </c>
      <c r="B371">
        <v>3992.01</v>
      </c>
      <c r="C371" s="3">
        <f t="shared" si="11"/>
        <v>1.4148210025663266E-3</v>
      </c>
      <c r="D371">
        <f>MONTH(tbl_SP500_Clean[[#This Row],[observation_date]])</f>
        <v>3</v>
      </c>
      <c r="E371" t="str">
        <f t="shared" si="12"/>
        <v>No</v>
      </c>
    </row>
    <row r="372" spans="1:5" hidden="1" x14ac:dyDescent="0.25">
      <c r="A372" s="1">
        <v>44994</v>
      </c>
      <c r="B372">
        <v>3918.32</v>
      </c>
      <c r="C372" s="3">
        <f t="shared" si="11"/>
        <v>-1.8459372596762044E-2</v>
      </c>
      <c r="D372">
        <f>MONTH(tbl_SP500_Clean[[#This Row],[observation_date]])</f>
        <v>3</v>
      </c>
      <c r="E372" t="str">
        <f t="shared" si="12"/>
        <v>No</v>
      </c>
    </row>
    <row r="373" spans="1:5" hidden="1" x14ac:dyDescent="0.25">
      <c r="A373" s="1">
        <v>44995</v>
      </c>
      <c r="B373">
        <v>3861.59</v>
      </c>
      <c r="C373" s="3">
        <f t="shared" si="11"/>
        <v>-1.447814369423631E-2</v>
      </c>
      <c r="D373">
        <f>MONTH(tbl_SP500_Clean[[#This Row],[observation_date]])</f>
        <v>3</v>
      </c>
      <c r="E373" t="str">
        <f t="shared" si="12"/>
        <v>No</v>
      </c>
    </row>
    <row r="374" spans="1:5" hidden="1" x14ac:dyDescent="0.25">
      <c r="A374" s="1">
        <v>44998</v>
      </c>
      <c r="B374">
        <v>3855.76</v>
      </c>
      <c r="C374" s="3">
        <f t="shared" si="11"/>
        <v>-1.5097408062481846E-3</v>
      </c>
      <c r="D374">
        <f>MONTH(tbl_SP500_Clean[[#This Row],[observation_date]])</f>
        <v>3</v>
      </c>
      <c r="E374" t="str">
        <f t="shared" si="12"/>
        <v>No</v>
      </c>
    </row>
    <row r="375" spans="1:5" hidden="1" x14ac:dyDescent="0.25">
      <c r="A375" s="1">
        <v>44999</v>
      </c>
      <c r="B375">
        <v>3919.29</v>
      </c>
      <c r="C375" s="3">
        <f t="shared" si="11"/>
        <v>1.6476647924144588E-2</v>
      </c>
      <c r="D375">
        <f>MONTH(tbl_SP500_Clean[[#This Row],[observation_date]])</f>
        <v>3</v>
      </c>
      <c r="E375" t="str">
        <f t="shared" si="12"/>
        <v>No</v>
      </c>
    </row>
    <row r="376" spans="1:5" hidden="1" x14ac:dyDescent="0.25">
      <c r="A376" s="1">
        <v>45000</v>
      </c>
      <c r="B376">
        <v>3891.93</v>
      </c>
      <c r="C376" s="3">
        <f t="shared" si="11"/>
        <v>-6.9808562265104464E-3</v>
      </c>
      <c r="D376">
        <f>MONTH(tbl_SP500_Clean[[#This Row],[observation_date]])</f>
        <v>3</v>
      </c>
      <c r="E376" t="str">
        <f t="shared" si="12"/>
        <v>No</v>
      </c>
    </row>
    <row r="377" spans="1:5" hidden="1" x14ac:dyDescent="0.25">
      <c r="A377" s="1">
        <v>45001</v>
      </c>
      <c r="B377">
        <v>3960.28</v>
      </c>
      <c r="C377" s="3">
        <f t="shared" si="11"/>
        <v>1.7561980816715707E-2</v>
      </c>
      <c r="D377">
        <f>MONTH(tbl_SP500_Clean[[#This Row],[observation_date]])</f>
        <v>3</v>
      </c>
      <c r="E377" t="str">
        <f t="shared" si="12"/>
        <v>No</v>
      </c>
    </row>
    <row r="378" spans="1:5" hidden="1" x14ac:dyDescent="0.25">
      <c r="A378" s="1">
        <v>45002</v>
      </c>
      <c r="B378">
        <v>3916.64</v>
      </c>
      <c r="C378" s="3">
        <f t="shared" si="11"/>
        <v>-1.1019422869090146E-2</v>
      </c>
      <c r="D378">
        <f>MONTH(tbl_SP500_Clean[[#This Row],[observation_date]])</f>
        <v>3</v>
      </c>
      <c r="E378" t="str">
        <f t="shared" si="12"/>
        <v>No</v>
      </c>
    </row>
    <row r="379" spans="1:5" hidden="1" x14ac:dyDescent="0.25">
      <c r="A379" s="1">
        <v>45005</v>
      </c>
      <c r="B379">
        <v>3951.57</v>
      </c>
      <c r="C379" s="3">
        <f t="shared" si="11"/>
        <v>8.9183585930798573E-3</v>
      </c>
      <c r="D379">
        <f>MONTH(tbl_SP500_Clean[[#This Row],[observation_date]])</f>
        <v>3</v>
      </c>
      <c r="E379" t="str">
        <f t="shared" si="12"/>
        <v>No</v>
      </c>
    </row>
    <row r="380" spans="1:5" hidden="1" x14ac:dyDescent="0.25">
      <c r="A380" s="1">
        <v>45006</v>
      </c>
      <c r="B380">
        <v>4002.87</v>
      </c>
      <c r="C380" s="3">
        <f t="shared" si="11"/>
        <v>1.2982181765728488E-2</v>
      </c>
      <c r="D380">
        <f>MONTH(tbl_SP500_Clean[[#This Row],[observation_date]])</f>
        <v>3</v>
      </c>
      <c r="E380" t="str">
        <f t="shared" si="12"/>
        <v>No</v>
      </c>
    </row>
    <row r="381" spans="1:5" hidden="1" x14ac:dyDescent="0.25">
      <c r="A381" s="1">
        <v>45007</v>
      </c>
      <c r="B381">
        <v>3936.97</v>
      </c>
      <c r="C381" s="3">
        <f t="shared" si="11"/>
        <v>-1.6463187662851927E-2</v>
      </c>
      <c r="D381">
        <f>MONTH(tbl_SP500_Clean[[#This Row],[observation_date]])</f>
        <v>3</v>
      </c>
      <c r="E381" t="str">
        <f t="shared" si="12"/>
        <v>No</v>
      </c>
    </row>
    <row r="382" spans="1:5" hidden="1" x14ac:dyDescent="0.25">
      <c r="A382" s="1">
        <v>45008</v>
      </c>
      <c r="B382">
        <v>3948.72</v>
      </c>
      <c r="C382" s="3">
        <f t="shared" si="11"/>
        <v>2.9845287111662016E-3</v>
      </c>
      <c r="D382">
        <f>MONTH(tbl_SP500_Clean[[#This Row],[observation_date]])</f>
        <v>3</v>
      </c>
      <c r="E382" t="str">
        <f t="shared" si="12"/>
        <v>No</v>
      </c>
    </row>
    <row r="383" spans="1:5" hidden="1" x14ac:dyDescent="0.25">
      <c r="A383" s="1">
        <v>45009</v>
      </c>
      <c r="B383">
        <v>3970.99</v>
      </c>
      <c r="C383" s="3">
        <f t="shared" si="11"/>
        <v>5.6398022650377801E-3</v>
      </c>
      <c r="D383">
        <f>MONTH(tbl_SP500_Clean[[#This Row],[observation_date]])</f>
        <v>3</v>
      </c>
      <c r="E383" t="str">
        <f t="shared" si="12"/>
        <v>No</v>
      </c>
    </row>
    <row r="384" spans="1:5" hidden="1" x14ac:dyDescent="0.25">
      <c r="A384" s="1">
        <v>45012</v>
      </c>
      <c r="B384">
        <v>3977.53</v>
      </c>
      <c r="C384" s="3">
        <f t="shared" si="11"/>
        <v>1.6469444647305631E-3</v>
      </c>
      <c r="D384">
        <f>MONTH(tbl_SP500_Clean[[#This Row],[observation_date]])</f>
        <v>3</v>
      </c>
      <c r="E384" t="str">
        <f t="shared" si="12"/>
        <v>No</v>
      </c>
    </row>
    <row r="385" spans="1:5" hidden="1" x14ac:dyDescent="0.25">
      <c r="A385" s="1">
        <v>45013</v>
      </c>
      <c r="B385">
        <v>3971.27</v>
      </c>
      <c r="C385" s="3">
        <f t="shared" si="11"/>
        <v>-1.5738410521102841E-3</v>
      </c>
      <c r="D385">
        <f>MONTH(tbl_SP500_Clean[[#This Row],[observation_date]])</f>
        <v>3</v>
      </c>
      <c r="E385" t="str">
        <f t="shared" si="12"/>
        <v>No</v>
      </c>
    </row>
    <row r="386" spans="1:5" hidden="1" x14ac:dyDescent="0.25">
      <c r="A386" s="1">
        <v>45014</v>
      </c>
      <c r="B386">
        <v>4027.81</v>
      </c>
      <c r="C386" s="3">
        <f t="shared" ref="C386:C449" si="13">(B386-B385)/B385</f>
        <v>1.4237259113583303E-2</v>
      </c>
      <c r="D386">
        <f>MONTH(tbl_SP500_Clean[[#This Row],[observation_date]])</f>
        <v>3</v>
      </c>
      <c r="E386" t="str">
        <f t="shared" ref="E386:E449" si="14">IF(D386&lt;&gt;D387,"Yes","No")</f>
        <v>No</v>
      </c>
    </row>
    <row r="387" spans="1:5" hidden="1" x14ac:dyDescent="0.25">
      <c r="A387" s="1">
        <v>45015</v>
      </c>
      <c r="B387">
        <v>4050.83</v>
      </c>
      <c r="C387" s="3">
        <f t="shared" si="13"/>
        <v>5.7152646227106004E-3</v>
      </c>
      <c r="D387">
        <f>MONTH(tbl_SP500_Clean[[#This Row],[observation_date]])</f>
        <v>3</v>
      </c>
      <c r="E387" t="str">
        <f t="shared" si="14"/>
        <v>No</v>
      </c>
    </row>
    <row r="388" spans="1:5" x14ac:dyDescent="0.25">
      <c r="A388" s="1">
        <v>45016</v>
      </c>
      <c r="B388">
        <v>4109.3100000000004</v>
      </c>
      <c r="C388" s="3">
        <f t="shared" si="13"/>
        <v>1.4436547571732329E-2</v>
      </c>
      <c r="D388">
        <f>MONTH(tbl_SP500_Clean[[#This Row],[observation_date]])</f>
        <v>3</v>
      </c>
      <c r="E388" t="str">
        <f t="shared" si="14"/>
        <v>Yes</v>
      </c>
    </row>
    <row r="389" spans="1:5" hidden="1" x14ac:dyDescent="0.25">
      <c r="A389" s="1">
        <v>45019</v>
      </c>
      <c r="B389">
        <v>4124.51</v>
      </c>
      <c r="C389" s="3">
        <f t="shared" si="13"/>
        <v>3.6989178231868164E-3</v>
      </c>
      <c r="D389">
        <f>MONTH(tbl_SP500_Clean[[#This Row],[observation_date]])</f>
        <v>4</v>
      </c>
      <c r="E389" t="str">
        <f t="shared" si="14"/>
        <v>No</v>
      </c>
    </row>
    <row r="390" spans="1:5" hidden="1" x14ac:dyDescent="0.25">
      <c r="A390" s="1">
        <v>45020</v>
      </c>
      <c r="B390">
        <v>4100.6000000000004</v>
      </c>
      <c r="C390" s="3">
        <f t="shared" si="13"/>
        <v>-5.7970522559043025E-3</v>
      </c>
      <c r="D390">
        <f>MONTH(tbl_SP500_Clean[[#This Row],[observation_date]])</f>
        <v>4</v>
      </c>
      <c r="E390" t="str">
        <f t="shared" si="14"/>
        <v>No</v>
      </c>
    </row>
    <row r="391" spans="1:5" hidden="1" x14ac:dyDescent="0.25">
      <c r="A391" s="1">
        <v>45021</v>
      </c>
      <c r="B391">
        <v>4090.38</v>
      </c>
      <c r="C391" s="3">
        <f t="shared" si="13"/>
        <v>-2.4923181973370368E-3</v>
      </c>
      <c r="D391">
        <f>MONTH(tbl_SP500_Clean[[#This Row],[observation_date]])</f>
        <v>4</v>
      </c>
      <c r="E391" t="str">
        <f t="shared" si="14"/>
        <v>No</v>
      </c>
    </row>
    <row r="392" spans="1:5" hidden="1" x14ac:dyDescent="0.25">
      <c r="A392" s="1">
        <v>45022</v>
      </c>
      <c r="B392">
        <v>4105.0200000000004</v>
      </c>
      <c r="C392" s="3">
        <f t="shared" si="13"/>
        <v>3.5791295674241336E-3</v>
      </c>
      <c r="D392">
        <f>MONTH(tbl_SP500_Clean[[#This Row],[observation_date]])</f>
        <v>4</v>
      </c>
      <c r="E392" t="str">
        <f t="shared" si="14"/>
        <v>No</v>
      </c>
    </row>
    <row r="393" spans="1:5" hidden="1" x14ac:dyDescent="0.25">
      <c r="A393" s="1">
        <v>45023</v>
      </c>
      <c r="C393">
        <f t="shared" si="13"/>
        <v>-1</v>
      </c>
      <c r="D393">
        <f>MONTH(tbl_SP500_Clean[[#This Row],[observation_date]])</f>
        <v>4</v>
      </c>
      <c r="E393" t="str">
        <f t="shared" si="14"/>
        <v>No</v>
      </c>
    </row>
    <row r="394" spans="1:5" hidden="1" x14ac:dyDescent="0.25">
      <c r="A394" s="1">
        <v>45026</v>
      </c>
      <c r="B394">
        <v>4109.1099999999997</v>
      </c>
      <c r="C394" s="3" t="e">
        <f t="shared" si="13"/>
        <v>#DIV/0!</v>
      </c>
      <c r="D394">
        <f>MONTH(tbl_SP500_Clean[[#This Row],[observation_date]])</f>
        <v>4</v>
      </c>
      <c r="E394" t="str">
        <f t="shared" si="14"/>
        <v>No</v>
      </c>
    </row>
    <row r="395" spans="1:5" hidden="1" x14ac:dyDescent="0.25">
      <c r="A395" s="1">
        <v>45027</v>
      </c>
      <c r="B395">
        <v>4108.9399999999996</v>
      </c>
      <c r="C395" s="3">
        <f t="shared" si="13"/>
        <v>-4.1371489203275837E-5</v>
      </c>
      <c r="D395">
        <f>MONTH(tbl_SP500_Clean[[#This Row],[observation_date]])</f>
        <v>4</v>
      </c>
      <c r="E395" t="str">
        <f t="shared" si="14"/>
        <v>No</v>
      </c>
    </row>
    <row r="396" spans="1:5" hidden="1" x14ac:dyDescent="0.25">
      <c r="A396" s="1">
        <v>45028</v>
      </c>
      <c r="B396">
        <v>4091.95</v>
      </c>
      <c r="C396" s="3">
        <f t="shared" si="13"/>
        <v>-4.1348863697206048E-3</v>
      </c>
      <c r="D396">
        <f>MONTH(tbl_SP500_Clean[[#This Row],[observation_date]])</f>
        <v>4</v>
      </c>
      <c r="E396" t="str">
        <f t="shared" si="14"/>
        <v>No</v>
      </c>
    </row>
    <row r="397" spans="1:5" hidden="1" x14ac:dyDescent="0.25">
      <c r="A397" s="1">
        <v>45029</v>
      </c>
      <c r="B397">
        <v>4146.22</v>
      </c>
      <c r="C397" s="3">
        <f t="shared" si="13"/>
        <v>1.3262625398648673E-2</v>
      </c>
      <c r="D397">
        <f>MONTH(tbl_SP500_Clean[[#This Row],[observation_date]])</f>
        <v>4</v>
      </c>
      <c r="E397" t="str">
        <f t="shared" si="14"/>
        <v>No</v>
      </c>
    </row>
    <row r="398" spans="1:5" hidden="1" x14ac:dyDescent="0.25">
      <c r="A398" s="1">
        <v>45030</v>
      </c>
      <c r="B398">
        <v>4137.6400000000003</v>
      </c>
      <c r="C398" s="3">
        <f t="shared" si="13"/>
        <v>-2.0693547375681769E-3</v>
      </c>
      <c r="D398">
        <f>MONTH(tbl_SP500_Clean[[#This Row],[observation_date]])</f>
        <v>4</v>
      </c>
      <c r="E398" t="str">
        <f t="shared" si="14"/>
        <v>No</v>
      </c>
    </row>
    <row r="399" spans="1:5" hidden="1" x14ac:dyDescent="0.25">
      <c r="A399" s="1">
        <v>45033</v>
      </c>
      <c r="B399">
        <v>4151.32</v>
      </c>
      <c r="C399" s="3">
        <f t="shared" si="13"/>
        <v>3.3062325383550477E-3</v>
      </c>
      <c r="D399">
        <f>MONTH(tbl_SP500_Clean[[#This Row],[observation_date]])</f>
        <v>4</v>
      </c>
      <c r="E399" t="str">
        <f t="shared" si="14"/>
        <v>No</v>
      </c>
    </row>
    <row r="400" spans="1:5" hidden="1" x14ac:dyDescent="0.25">
      <c r="A400" s="1">
        <v>45034</v>
      </c>
      <c r="B400">
        <v>4154.87</v>
      </c>
      <c r="C400" s="3">
        <f t="shared" si="13"/>
        <v>8.5514968732841167E-4</v>
      </c>
      <c r="D400">
        <f>MONTH(tbl_SP500_Clean[[#This Row],[observation_date]])</f>
        <v>4</v>
      </c>
      <c r="E400" t="str">
        <f t="shared" si="14"/>
        <v>No</v>
      </c>
    </row>
    <row r="401" spans="1:5" hidden="1" x14ac:dyDescent="0.25">
      <c r="A401" s="1">
        <v>45035</v>
      </c>
      <c r="B401">
        <v>4154.5200000000004</v>
      </c>
      <c r="C401" s="3">
        <f t="shared" si="13"/>
        <v>-8.4238496029828691E-5</v>
      </c>
      <c r="D401">
        <f>MONTH(tbl_SP500_Clean[[#This Row],[observation_date]])</f>
        <v>4</v>
      </c>
      <c r="E401" t="str">
        <f t="shared" si="14"/>
        <v>No</v>
      </c>
    </row>
    <row r="402" spans="1:5" hidden="1" x14ac:dyDescent="0.25">
      <c r="A402" s="1">
        <v>45036</v>
      </c>
      <c r="B402">
        <v>4129.79</v>
      </c>
      <c r="C402" s="3">
        <f t="shared" si="13"/>
        <v>-5.9525528821621921E-3</v>
      </c>
      <c r="D402">
        <f>MONTH(tbl_SP500_Clean[[#This Row],[observation_date]])</f>
        <v>4</v>
      </c>
      <c r="E402" t="str">
        <f t="shared" si="14"/>
        <v>No</v>
      </c>
    </row>
    <row r="403" spans="1:5" hidden="1" x14ac:dyDescent="0.25">
      <c r="A403" s="1">
        <v>45037</v>
      </c>
      <c r="B403">
        <v>4133.5200000000004</v>
      </c>
      <c r="C403" s="3">
        <f t="shared" si="13"/>
        <v>9.031936248575528E-4</v>
      </c>
      <c r="D403">
        <f>MONTH(tbl_SP500_Clean[[#This Row],[observation_date]])</f>
        <v>4</v>
      </c>
      <c r="E403" t="str">
        <f t="shared" si="14"/>
        <v>No</v>
      </c>
    </row>
    <row r="404" spans="1:5" hidden="1" x14ac:dyDescent="0.25">
      <c r="A404" s="1">
        <v>45040</v>
      </c>
      <c r="B404">
        <v>4137.04</v>
      </c>
      <c r="C404" s="3">
        <f t="shared" si="13"/>
        <v>8.5157444502494887E-4</v>
      </c>
      <c r="D404">
        <f>MONTH(tbl_SP500_Clean[[#This Row],[observation_date]])</f>
        <v>4</v>
      </c>
      <c r="E404" t="str">
        <f t="shared" si="14"/>
        <v>No</v>
      </c>
    </row>
    <row r="405" spans="1:5" hidden="1" x14ac:dyDescent="0.25">
      <c r="A405" s="1">
        <v>45041</v>
      </c>
      <c r="B405">
        <v>4071.63</v>
      </c>
      <c r="C405" s="3">
        <f t="shared" si="13"/>
        <v>-1.5810821263512041E-2</v>
      </c>
      <c r="D405">
        <f>MONTH(tbl_SP500_Clean[[#This Row],[observation_date]])</f>
        <v>4</v>
      </c>
      <c r="E405" t="str">
        <f t="shared" si="14"/>
        <v>No</v>
      </c>
    </row>
    <row r="406" spans="1:5" hidden="1" x14ac:dyDescent="0.25">
      <c r="A406" s="1">
        <v>45042</v>
      </c>
      <c r="B406">
        <v>4055.99</v>
      </c>
      <c r="C406" s="3">
        <f t="shared" si="13"/>
        <v>-3.8412134697898203E-3</v>
      </c>
      <c r="D406">
        <f>MONTH(tbl_SP500_Clean[[#This Row],[observation_date]])</f>
        <v>4</v>
      </c>
      <c r="E406" t="str">
        <f t="shared" si="14"/>
        <v>No</v>
      </c>
    </row>
    <row r="407" spans="1:5" hidden="1" x14ac:dyDescent="0.25">
      <c r="A407" s="1">
        <v>45043</v>
      </c>
      <c r="B407">
        <v>4135.3500000000004</v>
      </c>
      <c r="C407" s="3">
        <f t="shared" si="13"/>
        <v>1.9566123190639176E-2</v>
      </c>
      <c r="D407">
        <f>MONTH(tbl_SP500_Clean[[#This Row],[observation_date]])</f>
        <v>4</v>
      </c>
      <c r="E407" t="str">
        <f t="shared" si="14"/>
        <v>No</v>
      </c>
    </row>
    <row r="408" spans="1:5" x14ac:dyDescent="0.25">
      <c r="A408" s="1">
        <v>45044</v>
      </c>
      <c r="B408">
        <v>4169.4799999999996</v>
      </c>
      <c r="C408" s="3">
        <f t="shared" si="13"/>
        <v>8.2532312863479989E-3</v>
      </c>
      <c r="D408">
        <f>MONTH(tbl_SP500_Clean[[#This Row],[observation_date]])</f>
        <v>4</v>
      </c>
      <c r="E408" t="str">
        <f t="shared" si="14"/>
        <v>Yes</v>
      </c>
    </row>
    <row r="409" spans="1:5" hidden="1" x14ac:dyDescent="0.25">
      <c r="A409" s="1">
        <v>45047</v>
      </c>
      <c r="B409">
        <v>4167.87</v>
      </c>
      <c r="C409" s="3">
        <f t="shared" si="13"/>
        <v>-3.8613927875890346E-4</v>
      </c>
      <c r="D409">
        <f>MONTH(tbl_SP500_Clean[[#This Row],[observation_date]])</f>
        <v>5</v>
      </c>
      <c r="E409" t="str">
        <f t="shared" si="14"/>
        <v>No</v>
      </c>
    </row>
    <row r="410" spans="1:5" hidden="1" x14ac:dyDescent="0.25">
      <c r="A410" s="1">
        <v>45048</v>
      </c>
      <c r="B410">
        <v>4119.58</v>
      </c>
      <c r="C410" s="3">
        <f t="shared" si="13"/>
        <v>-1.1586253889876596E-2</v>
      </c>
      <c r="D410">
        <f>MONTH(tbl_SP500_Clean[[#This Row],[observation_date]])</f>
        <v>5</v>
      </c>
      <c r="E410" t="str">
        <f t="shared" si="14"/>
        <v>No</v>
      </c>
    </row>
    <row r="411" spans="1:5" hidden="1" x14ac:dyDescent="0.25">
      <c r="A411" s="1">
        <v>45049</v>
      </c>
      <c r="B411">
        <v>4090.75</v>
      </c>
      <c r="C411" s="3">
        <f t="shared" si="13"/>
        <v>-6.9982862330625764E-3</v>
      </c>
      <c r="D411">
        <f>MONTH(tbl_SP500_Clean[[#This Row],[observation_date]])</f>
        <v>5</v>
      </c>
      <c r="E411" t="str">
        <f t="shared" si="14"/>
        <v>No</v>
      </c>
    </row>
    <row r="412" spans="1:5" hidden="1" x14ac:dyDescent="0.25">
      <c r="A412" s="1">
        <v>45050</v>
      </c>
      <c r="B412">
        <v>4061.22</v>
      </c>
      <c r="C412" s="3">
        <f t="shared" si="13"/>
        <v>-7.2187251726456517E-3</v>
      </c>
      <c r="D412">
        <f>MONTH(tbl_SP500_Clean[[#This Row],[observation_date]])</f>
        <v>5</v>
      </c>
      <c r="E412" t="str">
        <f t="shared" si="14"/>
        <v>No</v>
      </c>
    </row>
    <row r="413" spans="1:5" hidden="1" x14ac:dyDescent="0.25">
      <c r="A413" s="1">
        <v>45051</v>
      </c>
      <c r="B413">
        <v>4136.25</v>
      </c>
      <c r="C413" s="3">
        <f t="shared" si="13"/>
        <v>1.8474744042430651E-2</v>
      </c>
      <c r="D413">
        <f>MONTH(tbl_SP500_Clean[[#This Row],[observation_date]])</f>
        <v>5</v>
      </c>
      <c r="E413" t="str">
        <f t="shared" si="14"/>
        <v>No</v>
      </c>
    </row>
    <row r="414" spans="1:5" hidden="1" x14ac:dyDescent="0.25">
      <c r="A414" s="1">
        <v>45054</v>
      </c>
      <c r="B414">
        <v>4138.12</v>
      </c>
      <c r="C414" s="3">
        <f t="shared" si="13"/>
        <v>4.5210033242668865E-4</v>
      </c>
      <c r="D414">
        <f>MONTH(tbl_SP500_Clean[[#This Row],[observation_date]])</f>
        <v>5</v>
      </c>
      <c r="E414" t="str">
        <f t="shared" si="14"/>
        <v>No</v>
      </c>
    </row>
    <row r="415" spans="1:5" hidden="1" x14ac:dyDescent="0.25">
      <c r="A415" s="1">
        <v>45055</v>
      </c>
      <c r="B415">
        <v>4119.17</v>
      </c>
      <c r="C415" s="3">
        <f t="shared" si="13"/>
        <v>-4.5793742085777642E-3</v>
      </c>
      <c r="D415">
        <f>MONTH(tbl_SP500_Clean[[#This Row],[observation_date]])</f>
        <v>5</v>
      </c>
      <c r="E415" t="str">
        <f t="shared" si="14"/>
        <v>No</v>
      </c>
    </row>
    <row r="416" spans="1:5" hidden="1" x14ac:dyDescent="0.25">
      <c r="A416" s="1">
        <v>45056</v>
      </c>
      <c r="B416">
        <v>4137.6400000000003</v>
      </c>
      <c r="C416" s="3">
        <f t="shared" si="13"/>
        <v>4.4839130213126079E-3</v>
      </c>
      <c r="D416">
        <f>MONTH(tbl_SP500_Clean[[#This Row],[observation_date]])</f>
        <v>5</v>
      </c>
      <c r="E416" t="str">
        <f t="shared" si="14"/>
        <v>No</v>
      </c>
    </row>
    <row r="417" spans="1:5" hidden="1" x14ac:dyDescent="0.25">
      <c r="A417" s="1">
        <v>45057</v>
      </c>
      <c r="B417">
        <v>4130.62</v>
      </c>
      <c r="C417" s="3">
        <f t="shared" si="13"/>
        <v>-1.6966193288929041E-3</v>
      </c>
      <c r="D417">
        <f>MONTH(tbl_SP500_Clean[[#This Row],[observation_date]])</f>
        <v>5</v>
      </c>
      <c r="E417" t="str">
        <f t="shared" si="14"/>
        <v>No</v>
      </c>
    </row>
    <row r="418" spans="1:5" hidden="1" x14ac:dyDescent="0.25">
      <c r="A418" s="1">
        <v>45058</v>
      </c>
      <c r="B418">
        <v>4124.08</v>
      </c>
      <c r="C418" s="3">
        <f t="shared" si="13"/>
        <v>-1.5832974226629329E-3</v>
      </c>
      <c r="D418">
        <f>MONTH(tbl_SP500_Clean[[#This Row],[observation_date]])</f>
        <v>5</v>
      </c>
      <c r="E418" t="str">
        <f t="shared" si="14"/>
        <v>No</v>
      </c>
    </row>
    <row r="419" spans="1:5" hidden="1" x14ac:dyDescent="0.25">
      <c r="A419" s="1">
        <v>45061</v>
      </c>
      <c r="B419">
        <v>4136.28</v>
      </c>
      <c r="C419" s="3">
        <f t="shared" si="13"/>
        <v>2.9582355337432393E-3</v>
      </c>
      <c r="D419">
        <f>MONTH(tbl_SP500_Clean[[#This Row],[observation_date]])</f>
        <v>5</v>
      </c>
      <c r="E419" t="str">
        <f t="shared" si="14"/>
        <v>No</v>
      </c>
    </row>
    <row r="420" spans="1:5" hidden="1" x14ac:dyDescent="0.25">
      <c r="A420" s="1">
        <v>45062</v>
      </c>
      <c r="B420">
        <v>4109.8999999999996</v>
      </c>
      <c r="C420" s="3">
        <f t="shared" si="13"/>
        <v>-6.3777113735047214E-3</v>
      </c>
      <c r="D420">
        <f>MONTH(tbl_SP500_Clean[[#This Row],[observation_date]])</f>
        <v>5</v>
      </c>
      <c r="E420" t="str">
        <f t="shared" si="14"/>
        <v>No</v>
      </c>
    </row>
    <row r="421" spans="1:5" hidden="1" x14ac:dyDescent="0.25">
      <c r="A421" s="1">
        <v>45063</v>
      </c>
      <c r="B421">
        <v>4158.7700000000004</v>
      </c>
      <c r="C421" s="3">
        <f t="shared" si="13"/>
        <v>1.1890800262780311E-2</v>
      </c>
      <c r="D421">
        <f>MONTH(tbl_SP500_Clean[[#This Row],[observation_date]])</f>
        <v>5</v>
      </c>
      <c r="E421" t="str">
        <f t="shared" si="14"/>
        <v>No</v>
      </c>
    </row>
    <row r="422" spans="1:5" hidden="1" x14ac:dyDescent="0.25">
      <c r="A422" s="1">
        <v>45064</v>
      </c>
      <c r="B422">
        <v>4198.05</v>
      </c>
      <c r="C422" s="3">
        <f t="shared" si="13"/>
        <v>9.4451003541912004E-3</v>
      </c>
      <c r="D422">
        <f>MONTH(tbl_SP500_Clean[[#This Row],[observation_date]])</f>
        <v>5</v>
      </c>
      <c r="E422" t="str">
        <f t="shared" si="14"/>
        <v>No</v>
      </c>
    </row>
    <row r="423" spans="1:5" hidden="1" x14ac:dyDescent="0.25">
      <c r="A423" s="1">
        <v>45065</v>
      </c>
      <c r="B423">
        <v>4191.9799999999996</v>
      </c>
      <c r="C423" s="3">
        <f t="shared" si="13"/>
        <v>-1.4459094103216061E-3</v>
      </c>
      <c r="D423">
        <f>MONTH(tbl_SP500_Clean[[#This Row],[observation_date]])</f>
        <v>5</v>
      </c>
      <c r="E423" t="str">
        <f t="shared" si="14"/>
        <v>No</v>
      </c>
    </row>
    <row r="424" spans="1:5" hidden="1" x14ac:dyDescent="0.25">
      <c r="A424" s="1">
        <v>45068</v>
      </c>
      <c r="B424">
        <v>4192.63</v>
      </c>
      <c r="C424" s="3">
        <f t="shared" si="13"/>
        <v>1.5505799168902184E-4</v>
      </c>
      <c r="D424">
        <f>MONTH(tbl_SP500_Clean[[#This Row],[observation_date]])</f>
        <v>5</v>
      </c>
      <c r="E424" t="str">
        <f t="shared" si="14"/>
        <v>No</v>
      </c>
    </row>
    <row r="425" spans="1:5" hidden="1" x14ac:dyDescent="0.25">
      <c r="A425" s="1">
        <v>45069</v>
      </c>
      <c r="B425">
        <v>4145.58</v>
      </c>
      <c r="C425" s="3">
        <f t="shared" si="13"/>
        <v>-1.1222073018606503E-2</v>
      </c>
      <c r="D425">
        <f>MONTH(tbl_SP500_Clean[[#This Row],[observation_date]])</f>
        <v>5</v>
      </c>
      <c r="E425" t="str">
        <f t="shared" si="14"/>
        <v>No</v>
      </c>
    </row>
    <row r="426" spans="1:5" hidden="1" x14ac:dyDescent="0.25">
      <c r="A426" s="1">
        <v>45070</v>
      </c>
      <c r="B426">
        <v>4115.24</v>
      </c>
      <c r="C426" s="3">
        <f t="shared" si="13"/>
        <v>-7.3186381640205104E-3</v>
      </c>
      <c r="D426">
        <f>MONTH(tbl_SP500_Clean[[#This Row],[observation_date]])</f>
        <v>5</v>
      </c>
      <c r="E426" t="str">
        <f t="shared" si="14"/>
        <v>No</v>
      </c>
    </row>
    <row r="427" spans="1:5" hidden="1" x14ac:dyDescent="0.25">
      <c r="A427" s="1">
        <v>45071</v>
      </c>
      <c r="B427">
        <v>4151.28</v>
      </c>
      <c r="C427" s="3">
        <f t="shared" si="13"/>
        <v>8.757690924466122E-3</v>
      </c>
      <c r="D427">
        <f>MONTH(tbl_SP500_Clean[[#This Row],[observation_date]])</f>
        <v>5</v>
      </c>
      <c r="E427" t="str">
        <f t="shared" si="14"/>
        <v>No</v>
      </c>
    </row>
    <row r="428" spans="1:5" hidden="1" x14ac:dyDescent="0.25">
      <c r="A428" s="1">
        <v>45072</v>
      </c>
      <c r="B428">
        <v>4205.45</v>
      </c>
      <c r="C428" s="3">
        <f t="shared" si="13"/>
        <v>1.3048987300302576E-2</v>
      </c>
      <c r="D428">
        <f>MONTH(tbl_SP500_Clean[[#This Row],[observation_date]])</f>
        <v>5</v>
      </c>
      <c r="E428" t="str">
        <f t="shared" si="14"/>
        <v>No</v>
      </c>
    </row>
    <row r="429" spans="1:5" hidden="1" x14ac:dyDescent="0.25">
      <c r="A429" s="1">
        <v>45075</v>
      </c>
      <c r="C429">
        <f t="shared" si="13"/>
        <v>-1</v>
      </c>
      <c r="D429">
        <f>MONTH(tbl_SP500_Clean[[#This Row],[observation_date]])</f>
        <v>5</v>
      </c>
      <c r="E429" t="str">
        <f t="shared" si="14"/>
        <v>No</v>
      </c>
    </row>
    <row r="430" spans="1:5" hidden="1" x14ac:dyDescent="0.25">
      <c r="A430" s="1">
        <v>45076</v>
      </c>
      <c r="B430">
        <v>4205.5200000000004</v>
      </c>
      <c r="C430" s="3" t="e">
        <f t="shared" si="13"/>
        <v>#DIV/0!</v>
      </c>
      <c r="D430">
        <f>MONTH(tbl_SP500_Clean[[#This Row],[observation_date]])</f>
        <v>5</v>
      </c>
      <c r="E430" t="str">
        <f t="shared" si="14"/>
        <v>No</v>
      </c>
    </row>
    <row r="431" spans="1:5" x14ac:dyDescent="0.25">
      <c r="A431" s="1">
        <v>45077</v>
      </c>
      <c r="B431">
        <v>4179.83</v>
      </c>
      <c r="C431" s="3">
        <f t="shared" si="13"/>
        <v>-6.1086381707851842E-3</v>
      </c>
      <c r="D431">
        <f>MONTH(tbl_SP500_Clean[[#This Row],[observation_date]])</f>
        <v>5</v>
      </c>
      <c r="E431" t="str">
        <f t="shared" si="14"/>
        <v>Yes</v>
      </c>
    </row>
    <row r="432" spans="1:5" hidden="1" x14ac:dyDescent="0.25">
      <c r="A432" s="1">
        <v>45078</v>
      </c>
      <c r="B432">
        <v>4221.0200000000004</v>
      </c>
      <c r="C432" s="3">
        <f t="shared" si="13"/>
        <v>9.8544677654355591E-3</v>
      </c>
      <c r="D432">
        <f>MONTH(tbl_SP500_Clean[[#This Row],[observation_date]])</f>
        <v>6</v>
      </c>
      <c r="E432" t="str">
        <f t="shared" si="14"/>
        <v>No</v>
      </c>
    </row>
    <row r="433" spans="1:5" hidden="1" x14ac:dyDescent="0.25">
      <c r="A433" s="1">
        <v>45079</v>
      </c>
      <c r="B433">
        <v>4282.37</v>
      </c>
      <c r="C433" s="3">
        <f t="shared" si="13"/>
        <v>1.4534401637518762E-2</v>
      </c>
      <c r="D433">
        <f>MONTH(tbl_SP500_Clean[[#This Row],[observation_date]])</f>
        <v>6</v>
      </c>
      <c r="E433" t="str">
        <f t="shared" si="14"/>
        <v>No</v>
      </c>
    </row>
    <row r="434" spans="1:5" hidden="1" x14ac:dyDescent="0.25">
      <c r="A434" s="1">
        <v>45082</v>
      </c>
      <c r="B434">
        <v>4273.79</v>
      </c>
      <c r="C434" s="3">
        <f t="shared" si="13"/>
        <v>-2.0035634473433935E-3</v>
      </c>
      <c r="D434">
        <f>MONTH(tbl_SP500_Clean[[#This Row],[observation_date]])</f>
        <v>6</v>
      </c>
      <c r="E434" t="str">
        <f t="shared" si="14"/>
        <v>No</v>
      </c>
    </row>
    <row r="435" spans="1:5" hidden="1" x14ac:dyDescent="0.25">
      <c r="A435" s="1">
        <v>45083</v>
      </c>
      <c r="B435">
        <v>4283.8500000000004</v>
      </c>
      <c r="C435" s="3">
        <f t="shared" si="13"/>
        <v>2.35388261940816E-3</v>
      </c>
      <c r="D435">
        <f>MONTH(tbl_SP500_Clean[[#This Row],[observation_date]])</f>
        <v>6</v>
      </c>
      <c r="E435" t="str">
        <f t="shared" si="14"/>
        <v>No</v>
      </c>
    </row>
    <row r="436" spans="1:5" hidden="1" x14ac:dyDescent="0.25">
      <c r="A436" s="1">
        <v>45084</v>
      </c>
      <c r="B436">
        <v>4267.5200000000004</v>
      </c>
      <c r="C436" s="3">
        <f t="shared" si="13"/>
        <v>-3.8119915496574171E-3</v>
      </c>
      <c r="D436">
        <f>MONTH(tbl_SP500_Clean[[#This Row],[observation_date]])</f>
        <v>6</v>
      </c>
      <c r="E436" t="str">
        <f t="shared" si="14"/>
        <v>No</v>
      </c>
    </row>
    <row r="437" spans="1:5" hidden="1" x14ac:dyDescent="0.25">
      <c r="A437" s="1">
        <v>45085</v>
      </c>
      <c r="B437">
        <v>4293.93</v>
      </c>
      <c r="C437" s="3">
        <f t="shared" si="13"/>
        <v>6.1886060287942067E-3</v>
      </c>
      <c r="D437">
        <f>MONTH(tbl_SP500_Clean[[#This Row],[observation_date]])</f>
        <v>6</v>
      </c>
      <c r="E437" t="str">
        <f t="shared" si="14"/>
        <v>No</v>
      </c>
    </row>
    <row r="438" spans="1:5" hidden="1" x14ac:dyDescent="0.25">
      <c r="A438" s="1">
        <v>45086</v>
      </c>
      <c r="B438">
        <v>4298.8599999999997</v>
      </c>
      <c r="C438" s="3">
        <f t="shared" si="13"/>
        <v>1.1481323635921827E-3</v>
      </c>
      <c r="D438">
        <f>MONTH(tbl_SP500_Clean[[#This Row],[observation_date]])</f>
        <v>6</v>
      </c>
      <c r="E438" t="str">
        <f t="shared" si="14"/>
        <v>No</v>
      </c>
    </row>
    <row r="439" spans="1:5" hidden="1" x14ac:dyDescent="0.25">
      <c r="A439" s="1">
        <v>45089</v>
      </c>
      <c r="B439">
        <v>4338.93</v>
      </c>
      <c r="C439" s="3">
        <f t="shared" si="13"/>
        <v>9.3210758201012871E-3</v>
      </c>
      <c r="D439">
        <f>MONTH(tbl_SP500_Clean[[#This Row],[observation_date]])</f>
        <v>6</v>
      </c>
      <c r="E439" t="str">
        <f t="shared" si="14"/>
        <v>No</v>
      </c>
    </row>
    <row r="440" spans="1:5" hidden="1" x14ac:dyDescent="0.25">
      <c r="A440" s="1">
        <v>45090</v>
      </c>
      <c r="B440">
        <v>4369.01</v>
      </c>
      <c r="C440" s="3">
        <f t="shared" si="13"/>
        <v>6.9325847616808576E-3</v>
      </c>
      <c r="D440">
        <f>MONTH(tbl_SP500_Clean[[#This Row],[observation_date]])</f>
        <v>6</v>
      </c>
      <c r="E440" t="str">
        <f t="shared" si="14"/>
        <v>No</v>
      </c>
    </row>
    <row r="441" spans="1:5" hidden="1" x14ac:dyDescent="0.25">
      <c r="A441" s="1">
        <v>45091</v>
      </c>
      <c r="B441">
        <v>4372.59</v>
      </c>
      <c r="C441" s="3">
        <f t="shared" si="13"/>
        <v>8.1940760034880373E-4</v>
      </c>
      <c r="D441">
        <f>MONTH(tbl_SP500_Clean[[#This Row],[observation_date]])</f>
        <v>6</v>
      </c>
      <c r="E441" t="str">
        <f t="shared" si="14"/>
        <v>No</v>
      </c>
    </row>
    <row r="442" spans="1:5" hidden="1" x14ac:dyDescent="0.25">
      <c r="A442" s="1">
        <v>45092</v>
      </c>
      <c r="B442">
        <v>4425.84</v>
      </c>
      <c r="C442" s="3">
        <f t="shared" si="13"/>
        <v>1.2178136985173546E-2</v>
      </c>
      <c r="D442">
        <f>MONTH(tbl_SP500_Clean[[#This Row],[observation_date]])</f>
        <v>6</v>
      </c>
      <c r="E442" t="str">
        <f t="shared" si="14"/>
        <v>No</v>
      </c>
    </row>
    <row r="443" spans="1:5" hidden="1" x14ac:dyDescent="0.25">
      <c r="A443" s="1">
        <v>45093</v>
      </c>
      <c r="B443">
        <v>4409.59</v>
      </c>
      <c r="C443" s="3">
        <f t="shared" si="13"/>
        <v>-3.671619398803391E-3</v>
      </c>
      <c r="D443">
        <f>MONTH(tbl_SP500_Clean[[#This Row],[observation_date]])</f>
        <v>6</v>
      </c>
      <c r="E443" t="str">
        <f t="shared" si="14"/>
        <v>No</v>
      </c>
    </row>
    <row r="444" spans="1:5" hidden="1" x14ac:dyDescent="0.25">
      <c r="A444" s="1">
        <v>45096</v>
      </c>
      <c r="C444">
        <f t="shared" si="13"/>
        <v>-1</v>
      </c>
      <c r="D444">
        <f>MONTH(tbl_SP500_Clean[[#This Row],[observation_date]])</f>
        <v>6</v>
      </c>
      <c r="E444" t="str">
        <f t="shared" si="14"/>
        <v>No</v>
      </c>
    </row>
    <row r="445" spans="1:5" hidden="1" x14ac:dyDescent="0.25">
      <c r="A445" s="1">
        <v>45097</v>
      </c>
      <c r="B445">
        <v>4388.71</v>
      </c>
      <c r="C445" s="3" t="e">
        <f t="shared" si="13"/>
        <v>#DIV/0!</v>
      </c>
      <c r="D445">
        <f>MONTH(tbl_SP500_Clean[[#This Row],[observation_date]])</f>
        <v>6</v>
      </c>
      <c r="E445" t="str">
        <f t="shared" si="14"/>
        <v>No</v>
      </c>
    </row>
    <row r="446" spans="1:5" hidden="1" x14ac:dyDescent="0.25">
      <c r="A446" s="1">
        <v>45098</v>
      </c>
      <c r="B446">
        <v>4365.6899999999996</v>
      </c>
      <c r="C446" s="3">
        <f t="shared" si="13"/>
        <v>-5.2452770859775276E-3</v>
      </c>
      <c r="D446">
        <f>MONTH(tbl_SP500_Clean[[#This Row],[observation_date]])</f>
        <v>6</v>
      </c>
      <c r="E446" t="str">
        <f t="shared" si="14"/>
        <v>No</v>
      </c>
    </row>
    <row r="447" spans="1:5" hidden="1" x14ac:dyDescent="0.25">
      <c r="A447" s="1">
        <v>45099</v>
      </c>
      <c r="B447">
        <v>4381.8900000000003</v>
      </c>
      <c r="C447" s="3">
        <f t="shared" si="13"/>
        <v>3.7107536265746604E-3</v>
      </c>
      <c r="D447">
        <f>MONTH(tbl_SP500_Clean[[#This Row],[observation_date]])</f>
        <v>6</v>
      </c>
      <c r="E447" t="str">
        <f t="shared" si="14"/>
        <v>No</v>
      </c>
    </row>
    <row r="448" spans="1:5" hidden="1" x14ac:dyDescent="0.25">
      <c r="A448" s="1">
        <v>45100</v>
      </c>
      <c r="B448">
        <v>4348.33</v>
      </c>
      <c r="C448" s="3">
        <f t="shared" si="13"/>
        <v>-7.6587956338475859E-3</v>
      </c>
      <c r="D448">
        <f>MONTH(tbl_SP500_Clean[[#This Row],[observation_date]])</f>
        <v>6</v>
      </c>
      <c r="E448" t="str">
        <f t="shared" si="14"/>
        <v>No</v>
      </c>
    </row>
    <row r="449" spans="1:5" hidden="1" x14ac:dyDescent="0.25">
      <c r="A449" s="1">
        <v>45103</v>
      </c>
      <c r="B449">
        <v>4328.82</v>
      </c>
      <c r="C449" s="3">
        <f t="shared" si="13"/>
        <v>-4.4867799822001135E-3</v>
      </c>
      <c r="D449">
        <f>MONTH(tbl_SP500_Clean[[#This Row],[observation_date]])</f>
        <v>6</v>
      </c>
      <c r="E449" t="str">
        <f t="shared" si="14"/>
        <v>No</v>
      </c>
    </row>
    <row r="450" spans="1:5" hidden="1" x14ac:dyDescent="0.25">
      <c r="A450" s="1">
        <v>45104</v>
      </c>
      <c r="B450">
        <v>4378.41</v>
      </c>
      <c r="C450" s="3">
        <f t="shared" ref="C450:C513" si="15">(B450-B449)/B449</f>
        <v>1.1455777787018206E-2</v>
      </c>
      <c r="D450">
        <f>MONTH(tbl_SP500_Clean[[#This Row],[observation_date]])</f>
        <v>6</v>
      </c>
      <c r="E450" t="str">
        <f t="shared" ref="E450:E513" si="16">IF(D450&lt;&gt;D451,"Yes","No")</f>
        <v>No</v>
      </c>
    </row>
    <row r="451" spans="1:5" hidden="1" x14ac:dyDescent="0.25">
      <c r="A451" s="1">
        <v>45105</v>
      </c>
      <c r="B451">
        <v>4376.8599999999997</v>
      </c>
      <c r="C451" s="3">
        <f t="shared" si="15"/>
        <v>-3.5400978894168934E-4</v>
      </c>
      <c r="D451">
        <f>MONTH(tbl_SP500_Clean[[#This Row],[observation_date]])</f>
        <v>6</v>
      </c>
      <c r="E451" t="str">
        <f t="shared" si="16"/>
        <v>No</v>
      </c>
    </row>
    <row r="452" spans="1:5" hidden="1" x14ac:dyDescent="0.25">
      <c r="A452" s="1">
        <v>45106</v>
      </c>
      <c r="B452">
        <v>4396.4399999999996</v>
      </c>
      <c r="C452" s="3">
        <f t="shared" si="15"/>
        <v>4.4735266835128221E-3</v>
      </c>
      <c r="D452">
        <f>MONTH(tbl_SP500_Clean[[#This Row],[observation_date]])</f>
        <v>6</v>
      </c>
      <c r="E452" t="str">
        <f t="shared" si="16"/>
        <v>No</v>
      </c>
    </row>
    <row r="453" spans="1:5" x14ac:dyDescent="0.25">
      <c r="A453" s="1">
        <v>45107</v>
      </c>
      <c r="B453">
        <v>4450.38</v>
      </c>
      <c r="C453" s="3">
        <f t="shared" si="15"/>
        <v>1.2269017659743E-2</v>
      </c>
      <c r="D453">
        <f>MONTH(tbl_SP500_Clean[[#This Row],[observation_date]])</f>
        <v>6</v>
      </c>
      <c r="E453" t="str">
        <f t="shared" si="16"/>
        <v>Yes</v>
      </c>
    </row>
    <row r="454" spans="1:5" hidden="1" x14ac:dyDescent="0.25">
      <c r="A454" s="1">
        <v>45110</v>
      </c>
      <c r="B454">
        <v>4455.59</v>
      </c>
      <c r="C454" s="3">
        <f t="shared" si="15"/>
        <v>1.1706865481150006E-3</v>
      </c>
      <c r="D454">
        <f>MONTH(tbl_SP500_Clean[[#This Row],[observation_date]])</f>
        <v>7</v>
      </c>
      <c r="E454" t="str">
        <f t="shared" si="16"/>
        <v>No</v>
      </c>
    </row>
    <row r="455" spans="1:5" hidden="1" x14ac:dyDescent="0.25">
      <c r="A455" s="1">
        <v>45111</v>
      </c>
      <c r="C455">
        <f t="shared" si="15"/>
        <v>-1</v>
      </c>
      <c r="D455">
        <f>MONTH(tbl_SP500_Clean[[#This Row],[observation_date]])</f>
        <v>7</v>
      </c>
      <c r="E455" t="str">
        <f t="shared" si="16"/>
        <v>No</v>
      </c>
    </row>
    <row r="456" spans="1:5" hidden="1" x14ac:dyDescent="0.25">
      <c r="A456" s="1">
        <v>45112</v>
      </c>
      <c r="B456">
        <v>4446.82</v>
      </c>
      <c r="C456" s="3" t="e">
        <f t="shared" si="15"/>
        <v>#DIV/0!</v>
      </c>
      <c r="D456">
        <f>MONTH(tbl_SP500_Clean[[#This Row],[observation_date]])</f>
        <v>7</v>
      </c>
      <c r="E456" t="str">
        <f t="shared" si="16"/>
        <v>No</v>
      </c>
    </row>
    <row r="457" spans="1:5" hidden="1" x14ac:dyDescent="0.25">
      <c r="A457" s="1">
        <v>45113</v>
      </c>
      <c r="B457">
        <v>4411.59</v>
      </c>
      <c r="C457" s="3">
        <f t="shared" si="15"/>
        <v>-7.9225154155103117E-3</v>
      </c>
      <c r="D457">
        <f>MONTH(tbl_SP500_Clean[[#This Row],[observation_date]])</f>
        <v>7</v>
      </c>
      <c r="E457" t="str">
        <f t="shared" si="16"/>
        <v>No</v>
      </c>
    </row>
    <row r="458" spans="1:5" hidden="1" x14ac:dyDescent="0.25">
      <c r="A458" s="1">
        <v>45114</v>
      </c>
      <c r="B458">
        <v>4398.95</v>
      </c>
      <c r="C458" s="3">
        <f t="shared" si="15"/>
        <v>-2.8651801277998017E-3</v>
      </c>
      <c r="D458">
        <f>MONTH(tbl_SP500_Clean[[#This Row],[observation_date]])</f>
        <v>7</v>
      </c>
      <c r="E458" t="str">
        <f t="shared" si="16"/>
        <v>No</v>
      </c>
    </row>
    <row r="459" spans="1:5" hidden="1" x14ac:dyDescent="0.25">
      <c r="A459" s="1">
        <v>45117</v>
      </c>
      <c r="B459">
        <v>4409.53</v>
      </c>
      <c r="C459" s="3">
        <f t="shared" si="15"/>
        <v>2.4051194034939993E-3</v>
      </c>
      <c r="D459">
        <f>MONTH(tbl_SP500_Clean[[#This Row],[observation_date]])</f>
        <v>7</v>
      </c>
      <c r="E459" t="str">
        <f t="shared" si="16"/>
        <v>No</v>
      </c>
    </row>
    <row r="460" spans="1:5" hidden="1" x14ac:dyDescent="0.25">
      <c r="A460" s="1">
        <v>45118</v>
      </c>
      <c r="B460">
        <v>4439.26</v>
      </c>
      <c r="C460" s="3">
        <f t="shared" si="15"/>
        <v>6.7422151567174899E-3</v>
      </c>
      <c r="D460">
        <f>MONTH(tbl_SP500_Clean[[#This Row],[observation_date]])</f>
        <v>7</v>
      </c>
      <c r="E460" t="str">
        <f t="shared" si="16"/>
        <v>No</v>
      </c>
    </row>
    <row r="461" spans="1:5" hidden="1" x14ac:dyDescent="0.25">
      <c r="A461" s="1">
        <v>45119</v>
      </c>
      <c r="B461">
        <v>4472.16</v>
      </c>
      <c r="C461" s="3">
        <f t="shared" si="15"/>
        <v>7.4111451007599543E-3</v>
      </c>
      <c r="D461">
        <f>MONTH(tbl_SP500_Clean[[#This Row],[observation_date]])</f>
        <v>7</v>
      </c>
      <c r="E461" t="str">
        <f t="shared" si="16"/>
        <v>No</v>
      </c>
    </row>
    <row r="462" spans="1:5" hidden="1" x14ac:dyDescent="0.25">
      <c r="A462" s="1">
        <v>45120</v>
      </c>
      <c r="B462">
        <v>4510.04</v>
      </c>
      <c r="C462" s="3">
        <f t="shared" si="15"/>
        <v>8.470179957783288E-3</v>
      </c>
      <c r="D462">
        <f>MONTH(tbl_SP500_Clean[[#This Row],[observation_date]])</f>
        <v>7</v>
      </c>
      <c r="E462" t="str">
        <f t="shared" si="16"/>
        <v>No</v>
      </c>
    </row>
    <row r="463" spans="1:5" hidden="1" x14ac:dyDescent="0.25">
      <c r="A463" s="1">
        <v>45121</v>
      </c>
      <c r="B463">
        <v>4505.42</v>
      </c>
      <c r="C463" s="3">
        <f t="shared" si="15"/>
        <v>-1.0243811584819405E-3</v>
      </c>
      <c r="D463">
        <f>MONTH(tbl_SP500_Clean[[#This Row],[observation_date]])</f>
        <v>7</v>
      </c>
      <c r="E463" t="str">
        <f t="shared" si="16"/>
        <v>No</v>
      </c>
    </row>
    <row r="464" spans="1:5" hidden="1" x14ac:dyDescent="0.25">
      <c r="A464" s="1">
        <v>45124</v>
      </c>
      <c r="B464">
        <v>4522.79</v>
      </c>
      <c r="C464" s="3">
        <f t="shared" si="15"/>
        <v>3.8553564373576469E-3</v>
      </c>
      <c r="D464">
        <f>MONTH(tbl_SP500_Clean[[#This Row],[observation_date]])</f>
        <v>7</v>
      </c>
      <c r="E464" t="str">
        <f t="shared" si="16"/>
        <v>No</v>
      </c>
    </row>
    <row r="465" spans="1:5" hidden="1" x14ac:dyDescent="0.25">
      <c r="A465" s="1">
        <v>45125</v>
      </c>
      <c r="B465">
        <v>4554.9799999999996</v>
      </c>
      <c r="C465" s="3">
        <f t="shared" si="15"/>
        <v>7.1172882225351165E-3</v>
      </c>
      <c r="D465">
        <f>MONTH(tbl_SP500_Clean[[#This Row],[observation_date]])</f>
        <v>7</v>
      </c>
      <c r="E465" t="str">
        <f t="shared" si="16"/>
        <v>No</v>
      </c>
    </row>
    <row r="466" spans="1:5" hidden="1" x14ac:dyDescent="0.25">
      <c r="A466" s="1">
        <v>45126</v>
      </c>
      <c r="B466">
        <v>4565.72</v>
      </c>
      <c r="C466" s="3">
        <f t="shared" si="15"/>
        <v>2.3578588709501891E-3</v>
      </c>
      <c r="D466">
        <f>MONTH(tbl_SP500_Clean[[#This Row],[observation_date]])</f>
        <v>7</v>
      </c>
      <c r="E466" t="str">
        <f t="shared" si="16"/>
        <v>No</v>
      </c>
    </row>
    <row r="467" spans="1:5" hidden="1" x14ac:dyDescent="0.25">
      <c r="A467" s="1">
        <v>45127</v>
      </c>
      <c r="B467">
        <v>4534.87</v>
      </c>
      <c r="C467" s="3">
        <f t="shared" si="15"/>
        <v>-6.7568751478409459E-3</v>
      </c>
      <c r="D467">
        <f>MONTH(tbl_SP500_Clean[[#This Row],[observation_date]])</f>
        <v>7</v>
      </c>
      <c r="E467" t="str">
        <f t="shared" si="16"/>
        <v>No</v>
      </c>
    </row>
    <row r="468" spans="1:5" hidden="1" x14ac:dyDescent="0.25">
      <c r="A468" s="1">
        <v>45128</v>
      </c>
      <c r="B468">
        <v>4536.34</v>
      </c>
      <c r="C468" s="3">
        <f t="shared" si="15"/>
        <v>3.2415482693004533E-4</v>
      </c>
      <c r="D468">
        <f>MONTH(tbl_SP500_Clean[[#This Row],[observation_date]])</f>
        <v>7</v>
      </c>
      <c r="E468" t="str">
        <f t="shared" si="16"/>
        <v>No</v>
      </c>
    </row>
    <row r="469" spans="1:5" hidden="1" x14ac:dyDescent="0.25">
      <c r="A469" s="1">
        <v>45131</v>
      </c>
      <c r="B469">
        <v>4554.6400000000003</v>
      </c>
      <c r="C469" s="3">
        <f t="shared" si="15"/>
        <v>4.0340891555747981E-3</v>
      </c>
      <c r="D469">
        <f>MONTH(tbl_SP500_Clean[[#This Row],[observation_date]])</f>
        <v>7</v>
      </c>
      <c r="E469" t="str">
        <f t="shared" si="16"/>
        <v>No</v>
      </c>
    </row>
    <row r="470" spans="1:5" hidden="1" x14ac:dyDescent="0.25">
      <c r="A470" s="1">
        <v>45132</v>
      </c>
      <c r="B470">
        <v>4567.46</v>
      </c>
      <c r="C470" s="3">
        <f t="shared" si="15"/>
        <v>2.8147120299298533E-3</v>
      </c>
      <c r="D470">
        <f>MONTH(tbl_SP500_Clean[[#This Row],[observation_date]])</f>
        <v>7</v>
      </c>
      <c r="E470" t="str">
        <f t="shared" si="16"/>
        <v>No</v>
      </c>
    </row>
    <row r="471" spans="1:5" hidden="1" x14ac:dyDescent="0.25">
      <c r="A471" s="1">
        <v>45133</v>
      </c>
      <c r="B471">
        <v>4566.75</v>
      </c>
      <c r="C471" s="3">
        <f t="shared" si="15"/>
        <v>-1.554474478156429E-4</v>
      </c>
      <c r="D471">
        <f>MONTH(tbl_SP500_Clean[[#This Row],[observation_date]])</f>
        <v>7</v>
      </c>
      <c r="E471" t="str">
        <f t="shared" si="16"/>
        <v>No</v>
      </c>
    </row>
    <row r="472" spans="1:5" hidden="1" x14ac:dyDescent="0.25">
      <c r="A472" s="1">
        <v>45134</v>
      </c>
      <c r="B472">
        <v>4537.41</v>
      </c>
      <c r="C472" s="3">
        <f t="shared" si="15"/>
        <v>-6.4247002791920178E-3</v>
      </c>
      <c r="D472">
        <f>MONTH(tbl_SP500_Clean[[#This Row],[observation_date]])</f>
        <v>7</v>
      </c>
      <c r="E472" t="str">
        <f t="shared" si="16"/>
        <v>No</v>
      </c>
    </row>
    <row r="473" spans="1:5" hidden="1" x14ac:dyDescent="0.25">
      <c r="A473" s="1">
        <v>45135</v>
      </c>
      <c r="B473">
        <v>4582.2299999999996</v>
      </c>
      <c r="C473" s="3">
        <f t="shared" si="15"/>
        <v>9.8778818753429178E-3</v>
      </c>
      <c r="D473">
        <f>MONTH(tbl_SP500_Clean[[#This Row],[observation_date]])</f>
        <v>7</v>
      </c>
      <c r="E473" t="str">
        <f t="shared" si="16"/>
        <v>No</v>
      </c>
    </row>
    <row r="474" spans="1:5" x14ac:dyDescent="0.25">
      <c r="A474" s="1">
        <v>45138</v>
      </c>
      <c r="B474">
        <v>4588.96</v>
      </c>
      <c r="C474" s="3">
        <f t="shared" si="15"/>
        <v>1.4687171966488966E-3</v>
      </c>
      <c r="D474">
        <f>MONTH(tbl_SP500_Clean[[#This Row],[observation_date]])</f>
        <v>7</v>
      </c>
      <c r="E474" t="str">
        <f t="shared" si="16"/>
        <v>Yes</v>
      </c>
    </row>
    <row r="475" spans="1:5" hidden="1" x14ac:dyDescent="0.25">
      <c r="A475" s="1">
        <v>45139</v>
      </c>
      <c r="B475">
        <v>4576.7299999999996</v>
      </c>
      <c r="C475" s="3">
        <f t="shared" si="15"/>
        <v>-2.6650918726684202E-3</v>
      </c>
      <c r="D475">
        <f>MONTH(tbl_SP500_Clean[[#This Row],[observation_date]])</f>
        <v>8</v>
      </c>
      <c r="E475" t="str">
        <f t="shared" si="16"/>
        <v>No</v>
      </c>
    </row>
    <row r="476" spans="1:5" hidden="1" x14ac:dyDescent="0.25">
      <c r="A476" s="1">
        <v>45140</v>
      </c>
      <c r="B476">
        <v>4513.3900000000003</v>
      </c>
      <c r="C476" s="3">
        <f t="shared" si="15"/>
        <v>-1.3839575417382987E-2</v>
      </c>
      <c r="D476">
        <f>MONTH(tbl_SP500_Clean[[#This Row],[observation_date]])</f>
        <v>8</v>
      </c>
      <c r="E476" t="str">
        <f t="shared" si="16"/>
        <v>No</v>
      </c>
    </row>
    <row r="477" spans="1:5" hidden="1" x14ac:dyDescent="0.25">
      <c r="A477" s="1">
        <v>45141</v>
      </c>
      <c r="B477">
        <v>4501.8900000000003</v>
      </c>
      <c r="C477" s="3">
        <f t="shared" si="15"/>
        <v>-2.5479739176096014E-3</v>
      </c>
      <c r="D477">
        <f>MONTH(tbl_SP500_Clean[[#This Row],[observation_date]])</f>
        <v>8</v>
      </c>
      <c r="E477" t="str">
        <f t="shared" si="16"/>
        <v>No</v>
      </c>
    </row>
    <row r="478" spans="1:5" hidden="1" x14ac:dyDescent="0.25">
      <c r="A478" s="1">
        <v>45142</v>
      </c>
      <c r="B478">
        <v>4478.03</v>
      </c>
      <c r="C478" s="3">
        <f t="shared" si="15"/>
        <v>-5.2999962238083516E-3</v>
      </c>
      <c r="D478">
        <f>MONTH(tbl_SP500_Clean[[#This Row],[observation_date]])</f>
        <v>8</v>
      </c>
      <c r="E478" t="str">
        <f t="shared" si="16"/>
        <v>No</v>
      </c>
    </row>
    <row r="479" spans="1:5" hidden="1" x14ac:dyDescent="0.25">
      <c r="A479" s="1">
        <v>45145</v>
      </c>
      <c r="B479">
        <v>4518.4399999999996</v>
      </c>
      <c r="C479" s="3">
        <f t="shared" si="15"/>
        <v>9.024057453835695E-3</v>
      </c>
      <c r="D479">
        <f>MONTH(tbl_SP500_Clean[[#This Row],[observation_date]])</f>
        <v>8</v>
      </c>
      <c r="E479" t="str">
        <f t="shared" si="16"/>
        <v>No</v>
      </c>
    </row>
    <row r="480" spans="1:5" hidden="1" x14ac:dyDescent="0.25">
      <c r="A480" s="1">
        <v>45146</v>
      </c>
      <c r="B480">
        <v>4499.38</v>
      </c>
      <c r="C480" s="3">
        <f t="shared" si="15"/>
        <v>-4.218270022396998E-3</v>
      </c>
      <c r="D480">
        <f>MONTH(tbl_SP500_Clean[[#This Row],[observation_date]])</f>
        <v>8</v>
      </c>
      <c r="E480" t="str">
        <f t="shared" si="16"/>
        <v>No</v>
      </c>
    </row>
    <row r="481" spans="1:5" hidden="1" x14ac:dyDescent="0.25">
      <c r="A481" s="1">
        <v>45147</v>
      </c>
      <c r="B481">
        <v>4467.71</v>
      </c>
      <c r="C481" s="3">
        <f t="shared" si="15"/>
        <v>-7.0387475607750563E-3</v>
      </c>
      <c r="D481">
        <f>MONTH(tbl_SP500_Clean[[#This Row],[observation_date]])</f>
        <v>8</v>
      </c>
      <c r="E481" t="str">
        <f t="shared" si="16"/>
        <v>No</v>
      </c>
    </row>
    <row r="482" spans="1:5" hidden="1" x14ac:dyDescent="0.25">
      <c r="A482" s="1">
        <v>45148</v>
      </c>
      <c r="B482">
        <v>4468.83</v>
      </c>
      <c r="C482" s="3">
        <f t="shared" si="15"/>
        <v>2.5068771249698186E-4</v>
      </c>
      <c r="D482">
        <f>MONTH(tbl_SP500_Clean[[#This Row],[observation_date]])</f>
        <v>8</v>
      </c>
      <c r="E482" t="str">
        <f t="shared" si="16"/>
        <v>No</v>
      </c>
    </row>
    <row r="483" spans="1:5" hidden="1" x14ac:dyDescent="0.25">
      <c r="A483" s="1">
        <v>45149</v>
      </c>
      <c r="B483">
        <v>4464.05</v>
      </c>
      <c r="C483" s="3">
        <f t="shared" si="15"/>
        <v>-1.0696312010078132E-3</v>
      </c>
      <c r="D483">
        <f>MONTH(tbl_SP500_Clean[[#This Row],[observation_date]])</f>
        <v>8</v>
      </c>
      <c r="E483" t="str">
        <f t="shared" si="16"/>
        <v>No</v>
      </c>
    </row>
    <row r="484" spans="1:5" hidden="1" x14ac:dyDescent="0.25">
      <c r="A484" s="1">
        <v>45152</v>
      </c>
      <c r="B484">
        <v>4489.72</v>
      </c>
      <c r="C484" s="3">
        <f t="shared" si="15"/>
        <v>5.7503836202551653E-3</v>
      </c>
      <c r="D484">
        <f>MONTH(tbl_SP500_Clean[[#This Row],[observation_date]])</f>
        <v>8</v>
      </c>
      <c r="E484" t="str">
        <f t="shared" si="16"/>
        <v>No</v>
      </c>
    </row>
    <row r="485" spans="1:5" hidden="1" x14ac:dyDescent="0.25">
      <c r="A485" s="1">
        <v>45153</v>
      </c>
      <c r="B485">
        <v>4437.8599999999997</v>
      </c>
      <c r="C485" s="3">
        <f t="shared" si="15"/>
        <v>-1.1550831677699406E-2</v>
      </c>
      <c r="D485">
        <f>MONTH(tbl_SP500_Clean[[#This Row],[observation_date]])</f>
        <v>8</v>
      </c>
      <c r="E485" t="str">
        <f t="shared" si="16"/>
        <v>No</v>
      </c>
    </row>
    <row r="486" spans="1:5" hidden="1" x14ac:dyDescent="0.25">
      <c r="A486" s="1">
        <v>45154</v>
      </c>
      <c r="B486">
        <v>4404.33</v>
      </c>
      <c r="C486" s="3">
        <f t="shared" si="15"/>
        <v>-7.5554433893813113E-3</v>
      </c>
      <c r="D486">
        <f>MONTH(tbl_SP500_Clean[[#This Row],[observation_date]])</f>
        <v>8</v>
      </c>
      <c r="E486" t="str">
        <f t="shared" si="16"/>
        <v>No</v>
      </c>
    </row>
    <row r="487" spans="1:5" hidden="1" x14ac:dyDescent="0.25">
      <c r="A487" s="1">
        <v>45155</v>
      </c>
      <c r="B487">
        <v>4370.3599999999997</v>
      </c>
      <c r="C487" s="3">
        <f t="shared" si="15"/>
        <v>-7.7128643857295558E-3</v>
      </c>
      <c r="D487">
        <f>MONTH(tbl_SP500_Clean[[#This Row],[observation_date]])</f>
        <v>8</v>
      </c>
      <c r="E487" t="str">
        <f t="shared" si="16"/>
        <v>No</v>
      </c>
    </row>
    <row r="488" spans="1:5" hidden="1" x14ac:dyDescent="0.25">
      <c r="A488" s="1">
        <v>45156</v>
      </c>
      <c r="B488">
        <v>4369.71</v>
      </c>
      <c r="C488" s="3">
        <f t="shared" si="15"/>
        <v>-1.4872916647590501E-4</v>
      </c>
      <c r="D488">
        <f>MONTH(tbl_SP500_Clean[[#This Row],[observation_date]])</f>
        <v>8</v>
      </c>
      <c r="E488" t="str">
        <f t="shared" si="16"/>
        <v>No</v>
      </c>
    </row>
    <row r="489" spans="1:5" hidden="1" x14ac:dyDescent="0.25">
      <c r="A489" s="1">
        <v>45159</v>
      </c>
      <c r="B489">
        <v>4399.7700000000004</v>
      </c>
      <c r="C489" s="3">
        <f t="shared" si="15"/>
        <v>6.8791750482298363E-3</v>
      </c>
      <c r="D489">
        <f>MONTH(tbl_SP500_Clean[[#This Row],[observation_date]])</f>
        <v>8</v>
      </c>
      <c r="E489" t="str">
        <f t="shared" si="16"/>
        <v>No</v>
      </c>
    </row>
    <row r="490" spans="1:5" hidden="1" x14ac:dyDescent="0.25">
      <c r="A490" s="1">
        <v>45160</v>
      </c>
      <c r="B490">
        <v>4387.55</v>
      </c>
      <c r="C490" s="3">
        <f t="shared" si="15"/>
        <v>-2.777417910481742E-3</v>
      </c>
      <c r="D490">
        <f>MONTH(tbl_SP500_Clean[[#This Row],[observation_date]])</f>
        <v>8</v>
      </c>
      <c r="E490" t="str">
        <f t="shared" si="16"/>
        <v>No</v>
      </c>
    </row>
    <row r="491" spans="1:5" hidden="1" x14ac:dyDescent="0.25">
      <c r="A491" s="1">
        <v>45161</v>
      </c>
      <c r="B491">
        <v>4436.01</v>
      </c>
      <c r="C491" s="3">
        <f t="shared" si="15"/>
        <v>1.1044888377340438E-2</v>
      </c>
      <c r="D491">
        <f>MONTH(tbl_SP500_Clean[[#This Row],[observation_date]])</f>
        <v>8</v>
      </c>
      <c r="E491" t="str">
        <f t="shared" si="16"/>
        <v>No</v>
      </c>
    </row>
    <row r="492" spans="1:5" hidden="1" x14ac:dyDescent="0.25">
      <c r="A492" s="1">
        <v>45162</v>
      </c>
      <c r="B492">
        <v>4376.3100000000004</v>
      </c>
      <c r="C492" s="3">
        <f t="shared" si="15"/>
        <v>-1.3458039995401232E-2</v>
      </c>
      <c r="D492">
        <f>MONTH(tbl_SP500_Clean[[#This Row],[observation_date]])</f>
        <v>8</v>
      </c>
      <c r="E492" t="str">
        <f t="shared" si="16"/>
        <v>No</v>
      </c>
    </row>
    <row r="493" spans="1:5" hidden="1" x14ac:dyDescent="0.25">
      <c r="A493" s="1">
        <v>45163</v>
      </c>
      <c r="B493">
        <v>4405.71</v>
      </c>
      <c r="C493" s="3">
        <f t="shared" si="15"/>
        <v>6.7179884423177591E-3</v>
      </c>
      <c r="D493">
        <f>MONTH(tbl_SP500_Clean[[#This Row],[observation_date]])</f>
        <v>8</v>
      </c>
      <c r="E493" t="str">
        <f t="shared" si="16"/>
        <v>No</v>
      </c>
    </row>
    <row r="494" spans="1:5" hidden="1" x14ac:dyDescent="0.25">
      <c r="A494" s="1">
        <v>45166</v>
      </c>
      <c r="B494">
        <v>4433.3100000000004</v>
      </c>
      <c r="C494" s="3">
        <f t="shared" si="15"/>
        <v>6.2645975336552712E-3</v>
      </c>
      <c r="D494">
        <f>MONTH(tbl_SP500_Clean[[#This Row],[observation_date]])</f>
        <v>8</v>
      </c>
      <c r="E494" t="str">
        <f t="shared" si="16"/>
        <v>No</v>
      </c>
    </row>
    <row r="495" spans="1:5" hidden="1" x14ac:dyDescent="0.25">
      <c r="A495" s="1">
        <v>45167</v>
      </c>
      <c r="B495">
        <v>4497.63</v>
      </c>
      <c r="C495" s="3">
        <f t="shared" si="15"/>
        <v>1.4508347036412907E-2</v>
      </c>
      <c r="D495">
        <f>MONTH(tbl_SP500_Clean[[#This Row],[observation_date]])</f>
        <v>8</v>
      </c>
      <c r="E495" t="str">
        <f t="shared" si="16"/>
        <v>No</v>
      </c>
    </row>
    <row r="496" spans="1:5" hidden="1" x14ac:dyDescent="0.25">
      <c r="A496" s="1">
        <v>45168</v>
      </c>
      <c r="B496">
        <v>4514.87</v>
      </c>
      <c r="C496" s="3">
        <f t="shared" si="15"/>
        <v>3.8331298928546325E-3</v>
      </c>
      <c r="D496">
        <f>MONTH(tbl_SP500_Clean[[#This Row],[observation_date]])</f>
        <v>8</v>
      </c>
      <c r="E496" t="str">
        <f t="shared" si="16"/>
        <v>No</v>
      </c>
    </row>
    <row r="497" spans="1:5" x14ac:dyDescent="0.25">
      <c r="A497" s="1">
        <v>45169</v>
      </c>
      <c r="B497">
        <v>4507.66</v>
      </c>
      <c r="C497" s="3">
        <f t="shared" si="15"/>
        <v>-1.5969452055098012E-3</v>
      </c>
      <c r="D497">
        <f>MONTH(tbl_SP500_Clean[[#This Row],[observation_date]])</f>
        <v>8</v>
      </c>
      <c r="E497" t="str">
        <f t="shared" si="16"/>
        <v>Yes</v>
      </c>
    </row>
    <row r="498" spans="1:5" hidden="1" x14ac:dyDescent="0.25">
      <c r="A498" s="1">
        <v>45170</v>
      </c>
      <c r="B498">
        <v>4515.7700000000004</v>
      </c>
      <c r="C498" s="3">
        <f t="shared" si="15"/>
        <v>1.7991596526802337E-3</v>
      </c>
      <c r="D498">
        <f>MONTH(tbl_SP500_Clean[[#This Row],[observation_date]])</f>
        <v>9</v>
      </c>
      <c r="E498" t="str">
        <f t="shared" si="16"/>
        <v>No</v>
      </c>
    </row>
    <row r="499" spans="1:5" hidden="1" x14ac:dyDescent="0.25">
      <c r="A499" s="1">
        <v>45173</v>
      </c>
      <c r="C499">
        <f t="shared" si="15"/>
        <v>-1</v>
      </c>
      <c r="D499">
        <f>MONTH(tbl_SP500_Clean[[#This Row],[observation_date]])</f>
        <v>9</v>
      </c>
      <c r="E499" t="str">
        <f t="shared" si="16"/>
        <v>No</v>
      </c>
    </row>
    <row r="500" spans="1:5" hidden="1" x14ac:dyDescent="0.25">
      <c r="A500" s="1">
        <v>45174</v>
      </c>
      <c r="B500">
        <v>4496.83</v>
      </c>
      <c r="C500" s="3" t="e">
        <f t="shared" si="15"/>
        <v>#DIV/0!</v>
      </c>
      <c r="D500">
        <f>MONTH(tbl_SP500_Clean[[#This Row],[observation_date]])</f>
        <v>9</v>
      </c>
      <c r="E500" t="str">
        <f t="shared" si="16"/>
        <v>No</v>
      </c>
    </row>
    <row r="501" spans="1:5" hidden="1" x14ac:dyDescent="0.25">
      <c r="A501" s="1">
        <v>45175</v>
      </c>
      <c r="B501">
        <v>4465.4799999999996</v>
      </c>
      <c r="C501" s="3">
        <f t="shared" si="15"/>
        <v>-6.9715777558858943E-3</v>
      </c>
      <c r="D501">
        <f>MONTH(tbl_SP500_Clean[[#This Row],[observation_date]])</f>
        <v>9</v>
      </c>
      <c r="E501" t="str">
        <f t="shared" si="16"/>
        <v>No</v>
      </c>
    </row>
    <row r="502" spans="1:5" hidden="1" x14ac:dyDescent="0.25">
      <c r="A502" s="1">
        <v>45176</v>
      </c>
      <c r="B502">
        <v>4451.1400000000003</v>
      </c>
      <c r="C502" s="3">
        <f t="shared" si="15"/>
        <v>-3.2113009127796425E-3</v>
      </c>
      <c r="D502">
        <f>MONTH(tbl_SP500_Clean[[#This Row],[observation_date]])</f>
        <v>9</v>
      </c>
      <c r="E502" t="str">
        <f t="shared" si="16"/>
        <v>No</v>
      </c>
    </row>
    <row r="503" spans="1:5" hidden="1" x14ac:dyDescent="0.25">
      <c r="A503" s="1">
        <v>45177</v>
      </c>
      <c r="B503">
        <v>4457.49</v>
      </c>
      <c r="C503" s="3">
        <f t="shared" si="15"/>
        <v>1.4266008258557255E-3</v>
      </c>
      <c r="D503">
        <f>MONTH(tbl_SP500_Clean[[#This Row],[observation_date]])</f>
        <v>9</v>
      </c>
      <c r="E503" t="str">
        <f t="shared" si="16"/>
        <v>No</v>
      </c>
    </row>
    <row r="504" spans="1:5" hidden="1" x14ac:dyDescent="0.25">
      <c r="A504" s="1">
        <v>45180</v>
      </c>
      <c r="B504">
        <v>4487.46</v>
      </c>
      <c r="C504" s="3">
        <f t="shared" si="15"/>
        <v>6.723514803174041E-3</v>
      </c>
      <c r="D504">
        <f>MONTH(tbl_SP500_Clean[[#This Row],[observation_date]])</f>
        <v>9</v>
      </c>
      <c r="E504" t="str">
        <f t="shared" si="16"/>
        <v>No</v>
      </c>
    </row>
    <row r="505" spans="1:5" hidden="1" x14ac:dyDescent="0.25">
      <c r="A505" s="1">
        <v>45181</v>
      </c>
      <c r="B505">
        <v>4461.8999999999996</v>
      </c>
      <c r="C505" s="3">
        <f t="shared" si="15"/>
        <v>-5.6958724980279265E-3</v>
      </c>
      <c r="D505">
        <f>MONTH(tbl_SP500_Clean[[#This Row],[observation_date]])</f>
        <v>9</v>
      </c>
      <c r="E505" t="str">
        <f t="shared" si="16"/>
        <v>No</v>
      </c>
    </row>
    <row r="506" spans="1:5" hidden="1" x14ac:dyDescent="0.25">
      <c r="A506" s="1">
        <v>45182</v>
      </c>
      <c r="B506">
        <v>4467.4399999999996</v>
      </c>
      <c r="C506" s="3">
        <f t="shared" si="15"/>
        <v>1.2416235236110097E-3</v>
      </c>
      <c r="D506">
        <f>MONTH(tbl_SP500_Clean[[#This Row],[observation_date]])</f>
        <v>9</v>
      </c>
      <c r="E506" t="str">
        <f t="shared" si="16"/>
        <v>No</v>
      </c>
    </row>
    <row r="507" spans="1:5" hidden="1" x14ac:dyDescent="0.25">
      <c r="A507" s="1">
        <v>45183</v>
      </c>
      <c r="B507">
        <v>4505.1000000000004</v>
      </c>
      <c r="C507" s="3">
        <f t="shared" si="15"/>
        <v>8.429883781315645E-3</v>
      </c>
      <c r="D507">
        <f>MONTH(tbl_SP500_Clean[[#This Row],[observation_date]])</f>
        <v>9</v>
      </c>
      <c r="E507" t="str">
        <f t="shared" si="16"/>
        <v>No</v>
      </c>
    </row>
    <row r="508" spans="1:5" hidden="1" x14ac:dyDescent="0.25">
      <c r="A508" s="1">
        <v>45184</v>
      </c>
      <c r="B508">
        <v>4450.32</v>
      </c>
      <c r="C508" s="3">
        <f t="shared" si="15"/>
        <v>-1.2159552507158698E-2</v>
      </c>
      <c r="D508">
        <f>MONTH(tbl_SP500_Clean[[#This Row],[observation_date]])</f>
        <v>9</v>
      </c>
      <c r="E508" t="str">
        <f t="shared" si="16"/>
        <v>No</v>
      </c>
    </row>
    <row r="509" spans="1:5" hidden="1" x14ac:dyDescent="0.25">
      <c r="A509" s="1">
        <v>45187</v>
      </c>
      <c r="B509">
        <v>4453.53</v>
      </c>
      <c r="C509" s="3">
        <f t="shared" si="15"/>
        <v>7.2129644609826636E-4</v>
      </c>
      <c r="D509">
        <f>MONTH(tbl_SP500_Clean[[#This Row],[observation_date]])</f>
        <v>9</v>
      </c>
      <c r="E509" t="str">
        <f t="shared" si="16"/>
        <v>No</v>
      </c>
    </row>
    <row r="510" spans="1:5" hidden="1" x14ac:dyDescent="0.25">
      <c r="A510" s="1">
        <v>45188</v>
      </c>
      <c r="B510">
        <v>4443.95</v>
      </c>
      <c r="C510" s="3">
        <f t="shared" si="15"/>
        <v>-2.151102608492573E-3</v>
      </c>
      <c r="D510">
        <f>MONTH(tbl_SP500_Clean[[#This Row],[observation_date]])</f>
        <v>9</v>
      </c>
      <c r="E510" t="str">
        <f t="shared" si="16"/>
        <v>No</v>
      </c>
    </row>
    <row r="511" spans="1:5" hidden="1" x14ac:dyDescent="0.25">
      <c r="A511" s="1">
        <v>45189</v>
      </c>
      <c r="B511">
        <v>4402.2</v>
      </c>
      <c r="C511" s="3">
        <f t="shared" si="15"/>
        <v>-9.3947951709627692E-3</v>
      </c>
      <c r="D511">
        <f>MONTH(tbl_SP500_Clean[[#This Row],[observation_date]])</f>
        <v>9</v>
      </c>
      <c r="E511" t="str">
        <f t="shared" si="16"/>
        <v>No</v>
      </c>
    </row>
    <row r="512" spans="1:5" hidden="1" x14ac:dyDescent="0.25">
      <c r="A512" s="1">
        <v>45190</v>
      </c>
      <c r="B512">
        <v>4330</v>
      </c>
      <c r="C512" s="3">
        <f t="shared" si="15"/>
        <v>-1.6400890463858939E-2</v>
      </c>
      <c r="D512">
        <f>MONTH(tbl_SP500_Clean[[#This Row],[observation_date]])</f>
        <v>9</v>
      </c>
      <c r="E512" t="str">
        <f t="shared" si="16"/>
        <v>No</v>
      </c>
    </row>
    <row r="513" spans="1:5" hidden="1" x14ac:dyDescent="0.25">
      <c r="A513" s="1">
        <v>45191</v>
      </c>
      <c r="B513">
        <v>4320.0600000000004</v>
      </c>
      <c r="C513" s="3">
        <f t="shared" si="15"/>
        <v>-2.2956120092377827E-3</v>
      </c>
      <c r="D513">
        <f>MONTH(tbl_SP500_Clean[[#This Row],[observation_date]])</f>
        <v>9</v>
      </c>
      <c r="E513" t="str">
        <f t="shared" si="16"/>
        <v>No</v>
      </c>
    </row>
    <row r="514" spans="1:5" hidden="1" x14ac:dyDescent="0.25">
      <c r="A514" s="1">
        <v>45194</v>
      </c>
      <c r="B514">
        <v>4337.4399999999996</v>
      </c>
      <c r="C514" s="3">
        <f t="shared" ref="C514:C577" si="17">(B514-B513)/B513</f>
        <v>4.0230922718664085E-3</v>
      </c>
      <c r="D514">
        <f>MONTH(tbl_SP500_Clean[[#This Row],[observation_date]])</f>
        <v>9</v>
      </c>
      <c r="E514" t="str">
        <f t="shared" ref="E514:E577" si="18">IF(D514&lt;&gt;D515,"Yes","No")</f>
        <v>No</v>
      </c>
    </row>
    <row r="515" spans="1:5" hidden="1" x14ac:dyDescent="0.25">
      <c r="A515" s="1">
        <v>45195</v>
      </c>
      <c r="B515">
        <v>4273.53</v>
      </c>
      <c r="C515" s="3">
        <f t="shared" si="17"/>
        <v>-1.4734497768268809E-2</v>
      </c>
      <c r="D515">
        <f>MONTH(tbl_SP500_Clean[[#This Row],[observation_date]])</f>
        <v>9</v>
      </c>
      <c r="E515" t="str">
        <f t="shared" si="18"/>
        <v>No</v>
      </c>
    </row>
    <row r="516" spans="1:5" hidden="1" x14ac:dyDescent="0.25">
      <c r="A516" s="1">
        <v>45196</v>
      </c>
      <c r="B516">
        <v>4274.51</v>
      </c>
      <c r="C516" s="3">
        <f t="shared" si="17"/>
        <v>2.2931861950202127E-4</v>
      </c>
      <c r="D516">
        <f>MONTH(tbl_SP500_Clean[[#This Row],[observation_date]])</f>
        <v>9</v>
      </c>
      <c r="E516" t="str">
        <f t="shared" si="18"/>
        <v>No</v>
      </c>
    </row>
    <row r="517" spans="1:5" hidden="1" x14ac:dyDescent="0.25">
      <c r="A517" s="1">
        <v>45197</v>
      </c>
      <c r="B517">
        <v>4299.7</v>
      </c>
      <c r="C517" s="3">
        <f t="shared" si="17"/>
        <v>5.8930731241708641E-3</v>
      </c>
      <c r="D517">
        <f>MONTH(tbl_SP500_Clean[[#This Row],[observation_date]])</f>
        <v>9</v>
      </c>
      <c r="E517" t="str">
        <f t="shared" si="18"/>
        <v>No</v>
      </c>
    </row>
    <row r="518" spans="1:5" x14ac:dyDescent="0.25">
      <c r="A518" s="1">
        <v>45198</v>
      </c>
      <c r="B518">
        <v>4288.05</v>
      </c>
      <c r="C518" s="3">
        <f t="shared" si="17"/>
        <v>-2.7094913598622317E-3</v>
      </c>
      <c r="D518">
        <f>MONTH(tbl_SP500_Clean[[#This Row],[observation_date]])</f>
        <v>9</v>
      </c>
      <c r="E518" t="str">
        <f t="shared" si="18"/>
        <v>Yes</v>
      </c>
    </row>
    <row r="519" spans="1:5" hidden="1" x14ac:dyDescent="0.25">
      <c r="A519" s="1">
        <v>45201</v>
      </c>
      <c r="B519">
        <v>4288.3900000000003</v>
      </c>
      <c r="C519" s="3">
        <f t="shared" si="17"/>
        <v>7.9290120217848556E-5</v>
      </c>
      <c r="D519">
        <f>MONTH(tbl_SP500_Clean[[#This Row],[observation_date]])</f>
        <v>10</v>
      </c>
      <c r="E519" t="str">
        <f t="shared" si="18"/>
        <v>No</v>
      </c>
    </row>
    <row r="520" spans="1:5" hidden="1" x14ac:dyDescent="0.25">
      <c r="A520" s="1">
        <v>45202</v>
      </c>
      <c r="B520">
        <v>4229.45</v>
      </c>
      <c r="C520" s="3">
        <f t="shared" si="17"/>
        <v>-1.3744085775780773E-2</v>
      </c>
      <c r="D520">
        <f>MONTH(tbl_SP500_Clean[[#This Row],[observation_date]])</f>
        <v>10</v>
      </c>
      <c r="E520" t="str">
        <f t="shared" si="18"/>
        <v>No</v>
      </c>
    </row>
    <row r="521" spans="1:5" hidden="1" x14ac:dyDescent="0.25">
      <c r="A521" s="1">
        <v>45203</v>
      </c>
      <c r="B521">
        <v>4263.75</v>
      </c>
      <c r="C521" s="3">
        <f t="shared" si="17"/>
        <v>8.1098015108347857E-3</v>
      </c>
      <c r="D521">
        <f>MONTH(tbl_SP500_Clean[[#This Row],[observation_date]])</f>
        <v>10</v>
      </c>
      <c r="E521" t="str">
        <f t="shared" si="18"/>
        <v>No</v>
      </c>
    </row>
    <row r="522" spans="1:5" hidden="1" x14ac:dyDescent="0.25">
      <c r="A522" s="1">
        <v>45204</v>
      </c>
      <c r="B522">
        <v>4258.1899999999996</v>
      </c>
      <c r="C522" s="3">
        <f t="shared" si="17"/>
        <v>-1.3040164174729757E-3</v>
      </c>
      <c r="D522">
        <f>MONTH(tbl_SP500_Clean[[#This Row],[observation_date]])</f>
        <v>10</v>
      </c>
      <c r="E522" t="str">
        <f t="shared" si="18"/>
        <v>No</v>
      </c>
    </row>
    <row r="523" spans="1:5" hidden="1" x14ac:dyDescent="0.25">
      <c r="A523" s="1">
        <v>45205</v>
      </c>
      <c r="B523">
        <v>4308.5</v>
      </c>
      <c r="C523" s="3">
        <f t="shared" si="17"/>
        <v>1.1814879091820798E-2</v>
      </c>
      <c r="D523">
        <f>MONTH(tbl_SP500_Clean[[#This Row],[observation_date]])</f>
        <v>10</v>
      </c>
      <c r="E523" t="str">
        <f t="shared" si="18"/>
        <v>No</v>
      </c>
    </row>
    <row r="524" spans="1:5" hidden="1" x14ac:dyDescent="0.25">
      <c r="A524" s="1">
        <v>45208</v>
      </c>
      <c r="B524">
        <v>4335.66</v>
      </c>
      <c r="C524" s="3">
        <f t="shared" si="17"/>
        <v>6.3038180341185692E-3</v>
      </c>
      <c r="D524">
        <f>MONTH(tbl_SP500_Clean[[#This Row],[observation_date]])</f>
        <v>10</v>
      </c>
      <c r="E524" t="str">
        <f t="shared" si="18"/>
        <v>No</v>
      </c>
    </row>
    <row r="525" spans="1:5" hidden="1" x14ac:dyDescent="0.25">
      <c r="A525" s="1">
        <v>45209</v>
      </c>
      <c r="B525">
        <v>4358.24</v>
      </c>
      <c r="C525" s="3">
        <f t="shared" si="17"/>
        <v>5.2079729499084175E-3</v>
      </c>
      <c r="D525">
        <f>MONTH(tbl_SP500_Clean[[#This Row],[observation_date]])</f>
        <v>10</v>
      </c>
      <c r="E525" t="str">
        <f t="shared" si="18"/>
        <v>No</v>
      </c>
    </row>
    <row r="526" spans="1:5" hidden="1" x14ac:dyDescent="0.25">
      <c r="A526" s="1">
        <v>45210</v>
      </c>
      <c r="B526">
        <v>4376.95</v>
      </c>
      <c r="C526" s="3">
        <f t="shared" si="17"/>
        <v>4.2930173648078208E-3</v>
      </c>
      <c r="D526">
        <f>MONTH(tbl_SP500_Clean[[#This Row],[observation_date]])</f>
        <v>10</v>
      </c>
      <c r="E526" t="str">
        <f t="shared" si="18"/>
        <v>No</v>
      </c>
    </row>
    <row r="527" spans="1:5" hidden="1" x14ac:dyDescent="0.25">
      <c r="A527" s="1">
        <v>45211</v>
      </c>
      <c r="B527">
        <v>4349.6099999999997</v>
      </c>
      <c r="C527" s="3">
        <f t="shared" si="17"/>
        <v>-6.246358765807274E-3</v>
      </c>
      <c r="D527">
        <f>MONTH(tbl_SP500_Clean[[#This Row],[observation_date]])</f>
        <v>10</v>
      </c>
      <c r="E527" t="str">
        <f t="shared" si="18"/>
        <v>No</v>
      </c>
    </row>
    <row r="528" spans="1:5" hidden="1" x14ac:dyDescent="0.25">
      <c r="A528" s="1">
        <v>45212</v>
      </c>
      <c r="B528">
        <v>4327.78</v>
      </c>
      <c r="C528" s="3">
        <f t="shared" si="17"/>
        <v>-5.0188407696322036E-3</v>
      </c>
      <c r="D528">
        <f>MONTH(tbl_SP500_Clean[[#This Row],[observation_date]])</f>
        <v>10</v>
      </c>
      <c r="E528" t="str">
        <f t="shared" si="18"/>
        <v>No</v>
      </c>
    </row>
    <row r="529" spans="1:5" hidden="1" x14ac:dyDescent="0.25">
      <c r="A529" s="1">
        <v>45215</v>
      </c>
      <c r="B529">
        <v>4373.63</v>
      </c>
      <c r="C529" s="3">
        <f t="shared" si="17"/>
        <v>1.0594346293018676E-2</v>
      </c>
      <c r="D529">
        <f>MONTH(tbl_SP500_Clean[[#This Row],[observation_date]])</f>
        <v>10</v>
      </c>
      <c r="E529" t="str">
        <f t="shared" si="18"/>
        <v>No</v>
      </c>
    </row>
    <row r="530" spans="1:5" hidden="1" x14ac:dyDescent="0.25">
      <c r="A530" s="1">
        <v>45216</v>
      </c>
      <c r="B530">
        <v>4373.2</v>
      </c>
      <c r="C530" s="3">
        <f t="shared" si="17"/>
        <v>-9.8316501395932218E-5</v>
      </c>
      <c r="D530">
        <f>MONTH(tbl_SP500_Clean[[#This Row],[observation_date]])</f>
        <v>10</v>
      </c>
      <c r="E530" t="str">
        <f t="shared" si="18"/>
        <v>No</v>
      </c>
    </row>
    <row r="531" spans="1:5" hidden="1" x14ac:dyDescent="0.25">
      <c r="A531" s="1">
        <v>45217</v>
      </c>
      <c r="B531">
        <v>4314.6000000000004</v>
      </c>
      <c r="C531" s="3">
        <f t="shared" si="17"/>
        <v>-1.3399798774352753E-2</v>
      </c>
      <c r="D531">
        <f>MONTH(tbl_SP500_Clean[[#This Row],[observation_date]])</f>
        <v>10</v>
      </c>
      <c r="E531" t="str">
        <f t="shared" si="18"/>
        <v>No</v>
      </c>
    </row>
    <row r="532" spans="1:5" hidden="1" x14ac:dyDescent="0.25">
      <c r="A532" s="1">
        <v>45218</v>
      </c>
      <c r="B532">
        <v>4278</v>
      </c>
      <c r="C532" s="3">
        <f t="shared" si="17"/>
        <v>-8.4828257544153247E-3</v>
      </c>
      <c r="D532">
        <f>MONTH(tbl_SP500_Clean[[#This Row],[observation_date]])</f>
        <v>10</v>
      </c>
      <c r="E532" t="str">
        <f t="shared" si="18"/>
        <v>No</v>
      </c>
    </row>
    <row r="533" spans="1:5" hidden="1" x14ac:dyDescent="0.25">
      <c r="A533" s="1">
        <v>45219</v>
      </c>
      <c r="B533">
        <v>4224.16</v>
      </c>
      <c r="C533" s="3">
        <f t="shared" si="17"/>
        <v>-1.2585320243104289E-2</v>
      </c>
      <c r="D533">
        <f>MONTH(tbl_SP500_Clean[[#This Row],[observation_date]])</f>
        <v>10</v>
      </c>
      <c r="E533" t="str">
        <f t="shared" si="18"/>
        <v>No</v>
      </c>
    </row>
    <row r="534" spans="1:5" hidden="1" x14ac:dyDescent="0.25">
      <c r="A534" s="1">
        <v>45222</v>
      </c>
      <c r="B534">
        <v>4217.04</v>
      </c>
      <c r="C534" s="3">
        <f t="shared" si="17"/>
        <v>-1.6855422143100382E-3</v>
      </c>
      <c r="D534">
        <f>MONTH(tbl_SP500_Clean[[#This Row],[observation_date]])</f>
        <v>10</v>
      </c>
      <c r="E534" t="str">
        <f t="shared" si="18"/>
        <v>No</v>
      </c>
    </row>
    <row r="535" spans="1:5" hidden="1" x14ac:dyDescent="0.25">
      <c r="A535" s="1">
        <v>45223</v>
      </c>
      <c r="B535">
        <v>4247.68</v>
      </c>
      <c r="C535" s="3">
        <f t="shared" si="17"/>
        <v>7.2657598694819891E-3</v>
      </c>
      <c r="D535">
        <f>MONTH(tbl_SP500_Clean[[#This Row],[observation_date]])</f>
        <v>10</v>
      </c>
      <c r="E535" t="str">
        <f t="shared" si="18"/>
        <v>No</v>
      </c>
    </row>
    <row r="536" spans="1:5" hidden="1" x14ac:dyDescent="0.25">
      <c r="A536" s="1">
        <v>45224</v>
      </c>
      <c r="B536">
        <v>4186.7700000000004</v>
      </c>
      <c r="C536" s="3">
        <f t="shared" si="17"/>
        <v>-1.4339592436341685E-2</v>
      </c>
      <c r="D536">
        <f>MONTH(tbl_SP500_Clean[[#This Row],[observation_date]])</f>
        <v>10</v>
      </c>
      <c r="E536" t="str">
        <f t="shared" si="18"/>
        <v>No</v>
      </c>
    </row>
    <row r="537" spans="1:5" hidden="1" x14ac:dyDescent="0.25">
      <c r="A537" s="1">
        <v>45225</v>
      </c>
      <c r="B537">
        <v>4137.2299999999996</v>
      </c>
      <c r="C537" s="3">
        <f t="shared" si="17"/>
        <v>-1.1832510503323772E-2</v>
      </c>
      <c r="D537">
        <f>MONTH(tbl_SP500_Clean[[#This Row],[observation_date]])</f>
        <v>10</v>
      </c>
      <c r="E537" t="str">
        <f t="shared" si="18"/>
        <v>No</v>
      </c>
    </row>
    <row r="538" spans="1:5" hidden="1" x14ac:dyDescent="0.25">
      <c r="A538" s="1">
        <v>45226</v>
      </c>
      <c r="B538">
        <v>4117.37</v>
      </c>
      <c r="C538" s="3">
        <f t="shared" si="17"/>
        <v>-4.800313253070212E-3</v>
      </c>
      <c r="D538">
        <f>MONTH(tbl_SP500_Clean[[#This Row],[observation_date]])</f>
        <v>10</v>
      </c>
      <c r="E538" t="str">
        <f t="shared" si="18"/>
        <v>No</v>
      </c>
    </row>
    <row r="539" spans="1:5" hidden="1" x14ac:dyDescent="0.25">
      <c r="A539" s="1">
        <v>45229</v>
      </c>
      <c r="B539">
        <v>4166.82</v>
      </c>
      <c r="C539" s="3">
        <f t="shared" si="17"/>
        <v>1.2010093822027125E-2</v>
      </c>
      <c r="D539">
        <f>MONTH(tbl_SP500_Clean[[#This Row],[observation_date]])</f>
        <v>10</v>
      </c>
      <c r="E539" t="str">
        <f t="shared" si="18"/>
        <v>No</v>
      </c>
    </row>
    <row r="540" spans="1:5" x14ac:dyDescent="0.25">
      <c r="A540" s="1">
        <v>45230</v>
      </c>
      <c r="B540">
        <v>4193.8</v>
      </c>
      <c r="C540" s="3">
        <f t="shared" si="17"/>
        <v>6.4749617214087665E-3</v>
      </c>
      <c r="D540">
        <f>MONTH(tbl_SP500_Clean[[#This Row],[observation_date]])</f>
        <v>10</v>
      </c>
      <c r="E540" t="str">
        <f t="shared" si="18"/>
        <v>Yes</v>
      </c>
    </row>
    <row r="541" spans="1:5" hidden="1" x14ac:dyDescent="0.25">
      <c r="A541" s="1">
        <v>45231</v>
      </c>
      <c r="B541">
        <v>4237.8599999999997</v>
      </c>
      <c r="C541" s="3">
        <f t="shared" si="17"/>
        <v>1.0505985025513732E-2</v>
      </c>
      <c r="D541">
        <f>MONTH(tbl_SP500_Clean[[#This Row],[observation_date]])</f>
        <v>11</v>
      </c>
      <c r="E541" t="str">
        <f t="shared" si="18"/>
        <v>No</v>
      </c>
    </row>
    <row r="542" spans="1:5" hidden="1" x14ac:dyDescent="0.25">
      <c r="A542" s="1">
        <v>45232</v>
      </c>
      <c r="B542">
        <v>4317.78</v>
      </c>
      <c r="C542" s="3">
        <f t="shared" si="17"/>
        <v>1.8858574846738703E-2</v>
      </c>
      <c r="D542">
        <f>MONTH(tbl_SP500_Clean[[#This Row],[observation_date]])</f>
        <v>11</v>
      </c>
      <c r="E542" t="str">
        <f t="shared" si="18"/>
        <v>No</v>
      </c>
    </row>
    <row r="543" spans="1:5" hidden="1" x14ac:dyDescent="0.25">
      <c r="A543" s="1">
        <v>45233</v>
      </c>
      <c r="B543">
        <v>4358.34</v>
      </c>
      <c r="C543" s="3">
        <f t="shared" si="17"/>
        <v>9.3937162152773878E-3</v>
      </c>
      <c r="D543">
        <f>MONTH(tbl_SP500_Clean[[#This Row],[observation_date]])</f>
        <v>11</v>
      </c>
      <c r="E543" t="str">
        <f t="shared" si="18"/>
        <v>No</v>
      </c>
    </row>
    <row r="544" spans="1:5" hidden="1" x14ac:dyDescent="0.25">
      <c r="A544" s="1">
        <v>45236</v>
      </c>
      <c r="B544">
        <v>4365.9799999999996</v>
      </c>
      <c r="C544" s="3">
        <f t="shared" si="17"/>
        <v>1.7529609897344901E-3</v>
      </c>
      <c r="D544">
        <f>MONTH(tbl_SP500_Clean[[#This Row],[observation_date]])</f>
        <v>11</v>
      </c>
      <c r="E544" t="str">
        <f t="shared" si="18"/>
        <v>No</v>
      </c>
    </row>
    <row r="545" spans="1:5" hidden="1" x14ac:dyDescent="0.25">
      <c r="A545" s="1">
        <v>45237</v>
      </c>
      <c r="B545">
        <v>4378.38</v>
      </c>
      <c r="C545" s="3">
        <f t="shared" si="17"/>
        <v>2.8401412741241479E-3</v>
      </c>
      <c r="D545">
        <f>MONTH(tbl_SP500_Clean[[#This Row],[observation_date]])</f>
        <v>11</v>
      </c>
      <c r="E545" t="str">
        <f t="shared" si="18"/>
        <v>No</v>
      </c>
    </row>
    <row r="546" spans="1:5" hidden="1" x14ac:dyDescent="0.25">
      <c r="A546" s="1">
        <v>45238</v>
      </c>
      <c r="B546">
        <v>4382.78</v>
      </c>
      <c r="C546" s="3">
        <f t="shared" si="17"/>
        <v>1.0049378994056331E-3</v>
      </c>
      <c r="D546">
        <f>MONTH(tbl_SP500_Clean[[#This Row],[observation_date]])</f>
        <v>11</v>
      </c>
      <c r="E546" t="str">
        <f t="shared" si="18"/>
        <v>No</v>
      </c>
    </row>
    <row r="547" spans="1:5" hidden="1" x14ac:dyDescent="0.25">
      <c r="A547" s="1">
        <v>45239</v>
      </c>
      <c r="B547">
        <v>4347.3500000000004</v>
      </c>
      <c r="C547" s="3">
        <f t="shared" si="17"/>
        <v>-8.0839102122395798E-3</v>
      </c>
      <c r="D547">
        <f>MONTH(tbl_SP500_Clean[[#This Row],[observation_date]])</f>
        <v>11</v>
      </c>
      <c r="E547" t="str">
        <f t="shared" si="18"/>
        <v>No</v>
      </c>
    </row>
    <row r="548" spans="1:5" hidden="1" x14ac:dyDescent="0.25">
      <c r="A548" s="1">
        <v>45240</v>
      </c>
      <c r="B548">
        <v>4415.24</v>
      </c>
      <c r="C548" s="3">
        <f t="shared" si="17"/>
        <v>1.5616409996894525E-2</v>
      </c>
      <c r="D548">
        <f>MONTH(tbl_SP500_Clean[[#This Row],[observation_date]])</f>
        <v>11</v>
      </c>
      <c r="E548" t="str">
        <f t="shared" si="18"/>
        <v>No</v>
      </c>
    </row>
    <row r="549" spans="1:5" hidden="1" x14ac:dyDescent="0.25">
      <c r="A549" s="1">
        <v>45243</v>
      </c>
      <c r="B549">
        <v>4411.55</v>
      </c>
      <c r="C549" s="3">
        <f t="shared" si="17"/>
        <v>-8.3574165843750285E-4</v>
      </c>
      <c r="D549">
        <f>MONTH(tbl_SP500_Clean[[#This Row],[observation_date]])</f>
        <v>11</v>
      </c>
      <c r="E549" t="str">
        <f t="shared" si="18"/>
        <v>No</v>
      </c>
    </row>
    <row r="550" spans="1:5" hidden="1" x14ac:dyDescent="0.25">
      <c r="A550" s="1">
        <v>45244</v>
      </c>
      <c r="B550">
        <v>4495.7</v>
      </c>
      <c r="C550" s="3">
        <f t="shared" si="17"/>
        <v>1.9074928313177825E-2</v>
      </c>
      <c r="D550">
        <f>MONTH(tbl_SP500_Clean[[#This Row],[observation_date]])</f>
        <v>11</v>
      </c>
      <c r="E550" t="str">
        <f t="shared" si="18"/>
        <v>No</v>
      </c>
    </row>
    <row r="551" spans="1:5" hidden="1" x14ac:dyDescent="0.25">
      <c r="A551" s="1">
        <v>45245</v>
      </c>
      <c r="B551">
        <v>4502.88</v>
      </c>
      <c r="C551" s="3">
        <f t="shared" si="17"/>
        <v>1.5970816558045001E-3</v>
      </c>
      <c r="D551">
        <f>MONTH(tbl_SP500_Clean[[#This Row],[observation_date]])</f>
        <v>11</v>
      </c>
      <c r="E551" t="str">
        <f t="shared" si="18"/>
        <v>No</v>
      </c>
    </row>
    <row r="552" spans="1:5" hidden="1" x14ac:dyDescent="0.25">
      <c r="A552" s="1">
        <v>45246</v>
      </c>
      <c r="B552">
        <v>4508.24</v>
      </c>
      <c r="C552" s="3">
        <f t="shared" si="17"/>
        <v>1.1903492875669954E-3</v>
      </c>
      <c r="D552">
        <f>MONTH(tbl_SP500_Clean[[#This Row],[observation_date]])</f>
        <v>11</v>
      </c>
      <c r="E552" t="str">
        <f t="shared" si="18"/>
        <v>No</v>
      </c>
    </row>
    <row r="553" spans="1:5" hidden="1" x14ac:dyDescent="0.25">
      <c r="A553" s="1">
        <v>45247</v>
      </c>
      <c r="B553">
        <v>4514.0200000000004</v>
      </c>
      <c r="C553" s="3">
        <f t="shared" si="17"/>
        <v>1.2820967827801215E-3</v>
      </c>
      <c r="D553">
        <f>MONTH(tbl_SP500_Clean[[#This Row],[observation_date]])</f>
        <v>11</v>
      </c>
      <c r="E553" t="str">
        <f t="shared" si="18"/>
        <v>No</v>
      </c>
    </row>
    <row r="554" spans="1:5" hidden="1" x14ac:dyDescent="0.25">
      <c r="A554" s="1">
        <v>45250</v>
      </c>
      <c r="B554">
        <v>4547.38</v>
      </c>
      <c r="C554" s="3">
        <f t="shared" si="17"/>
        <v>7.390308416887756E-3</v>
      </c>
      <c r="D554">
        <f>MONTH(tbl_SP500_Clean[[#This Row],[observation_date]])</f>
        <v>11</v>
      </c>
      <c r="E554" t="str">
        <f t="shared" si="18"/>
        <v>No</v>
      </c>
    </row>
    <row r="555" spans="1:5" hidden="1" x14ac:dyDescent="0.25">
      <c r="A555" s="1">
        <v>45251</v>
      </c>
      <c r="B555">
        <v>4538.1899999999996</v>
      </c>
      <c r="C555" s="3">
        <f t="shared" si="17"/>
        <v>-2.0209439281521466E-3</v>
      </c>
      <c r="D555">
        <f>MONTH(tbl_SP500_Clean[[#This Row],[observation_date]])</f>
        <v>11</v>
      </c>
      <c r="E555" t="str">
        <f t="shared" si="18"/>
        <v>No</v>
      </c>
    </row>
    <row r="556" spans="1:5" hidden="1" x14ac:dyDescent="0.25">
      <c r="A556" s="1">
        <v>45252</v>
      </c>
      <c r="B556">
        <v>4556.62</v>
      </c>
      <c r="C556" s="3">
        <f t="shared" si="17"/>
        <v>4.0610904347328546E-3</v>
      </c>
      <c r="D556">
        <f>MONTH(tbl_SP500_Clean[[#This Row],[observation_date]])</f>
        <v>11</v>
      </c>
      <c r="E556" t="str">
        <f t="shared" si="18"/>
        <v>No</v>
      </c>
    </row>
    <row r="557" spans="1:5" hidden="1" x14ac:dyDescent="0.25">
      <c r="A557" s="1">
        <v>45253</v>
      </c>
      <c r="C557">
        <f t="shared" si="17"/>
        <v>-1</v>
      </c>
      <c r="D557">
        <f>MONTH(tbl_SP500_Clean[[#This Row],[observation_date]])</f>
        <v>11</v>
      </c>
      <c r="E557" t="str">
        <f t="shared" si="18"/>
        <v>No</v>
      </c>
    </row>
    <row r="558" spans="1:5" hidden="1" x14ac:dyDescent="0.25">
      <c r="A558" s="1">
        <v>45254</v>
      </c>
      <c r="B558">
        <v>4559.34</v>
      </c>
      <c r="C558" s="3" t="e">
        <f t="shared" si="17"/>
        <v>#DIV/0!</v>
      </c>
      <c r="D558">
        <f>MONTH(tbl_SP500_Clean[[#This Row],[observation_date]])</f>
        <v>11</v>
      </c>
      <c r="E558" t="str">
        <f t="shared" si="18"/>
        <v>No</v>
      </c>
    </row>
    <row r="559" spans="1:5" hidden="1" x14ac:dyDescent="0.25">
      <c r="A559" s="1">
        <v>45257</v>
      </c>
      <c r="B559">
        <v>4550.43</v>
      </c>
      <c r="C559" s="3">
        <f t="shared" si="17"/>
        <v>-1.9542302175314529E-3</v>
      </c>
      <c r="D559">
        <f>MONTH(tbl_SP500_Clean[[#This Row],[observation_date]])</f>
        <v>11</v>
      </c>
      <c r="E559" t="str">
        <f t="shared" si="18"/>
        <v>No</v>
      </c>
    </row>
    <row r="560" spans="1:5" hidden="1" x14ac:dyDescent="0.25">
      <c r="A560" s="1">
        <v>45258</v>
      </c>
      <c r="B560">
        <v>4554.8900000000003</v>
      </c>
      <c r="C560" s="3">
        <f t="shared" si="17"/>
        <v>9.8012715281853269E-4</v>
      </c>
      <c r="D560">
        <f>MONTH(tbl_SP500_Clean[[#This Row],[observation_date]])</f>
        <v>11</v>
      </c>
      <c r="E560" t="str">
        <f t="shared" si="18"/>
        <v>No</v>
      </c>
    </row>
    <row r="561" spans="1:5" hidden="1" x14ac:dyDescent="0.25">
      <c r="A561" s="1">
        <v>45259</v>
      </c>
      <c r="B561">
        <v>4550.58</v>
      </c>
      <c r="C561" s="3">
        <f t="shared" si="17"/>
        <v>-9.4623580371872864E-4</v>
      </c>
      <c r="D561">
        <f>MONTH(tbl_SP500_Clean[[#This Row],[observation_date]])</f>
        <v>11</v>
      </c>
      <c r="E561" t="str">
        <f t="shared" si="18"/>
        <v>No</v>
      </c>
    </row>
    <row r="562" spans="1:5" x14ac:dyDescent="0.25">
      <c r="A562" s="1">
        <v>45260</v>
      </c>
      <c r="B562">
        <v>4567.8</v>
      </c>
      <c r="C562" s="3">
        <f t="shared" si="17"/>
        <v>3.7841330116161575E-3</v>
      </c>
      <c r="D562">
        <f>MONTH(tbl_SP500_Clean[[#This Row],[observation_date]])</f>
        <v>11</v>
      </c>
      <c r="E562" t="str">
        <f t="shared" si="18"/>
        <v>Yes</v>
      </c>
    </row>
    <row r="563" spans="1:5" hidden="1" x14ac:dyDescent="0.25">
      <c r="A563" s="1">
        <v>45261</v>
      </c>
      <c r="B563">
        <v>4594.63</v>
      </c>
      <c r="C563" s="3">
        <f t="shared" si="17"/>
        <v>5.873724769035406E-3</v>
      </c>
      <c r="D563">
        <f>MONTH(tbl_SP500_Clean[[#This Row],[observation_date]])</f>
        <v>12</v>
      </c>
      <c r="E563" t="str">
        <f t="shared" si="18"/>
        <v>No</v>
      </c>
    </row>
    <row r="564" spans="1:5" hidden="1" x14ac:dyDescent="0.25">
      <c r="A564" s="1">
        <v>45264</v>
      </c>
      <c r="B564">
        <v>4569.78</v>
      </c>
      <c r="C564" s="3">
        <f t="shared" si="17"/>
        <v>-5.4084877345945952E-3</v>
      </c>
      <c r="D564">
        <f>MONTH(tbl_SP500_Clean[[#This Row],[observation_date]])</f>
        <v>12</v>
      </c>
      <c r="E564" t="str">
        <f t="shared" si="18"/>
        <v>No</v>
      </c>
    </row>
    <row r="565" spans="1:5" hidden="1" x14ac:dyDescent="0.25">
      <c r="A565" s="1">
        <v>45265</v>
      </c>
      <c r="B565">
        <v>4567.18</v>
      </c>
      <c r="C565" s="3">
        <f t="shared" si="17"/>
        <v>-5.68955179461474E-4</v>
      </c>
      <c r="D565">
        <f>MONTH(tbl_SP500_Clean[[#This Row],[observation_date]])</f>
        <v>12</v>
      </c>
      <c r="E565" t="str">
        <f t="shared" si="18"/>
        <v>No</v>
      </c>
    </row>
    <row r="566" spans="1:5" hidden="1" x14ac:dyDescent="0.25">
      <c r="A566" s="1">
        <v>45266</v>
      </c>
      <c r="B566">
        <v>4549.34</v>
      </c>
      <c r="C566" s="3">
        <f t="shared" si="17"/>
        <v>-3.9061302598102426E-3</v>
      </c>
      <c r="D566">
        <f>MONTH(tbl_SP500_Clean[[#This Row],[observation_date]])</f>
        <v>12</v>
      </c>
      <c r="E566" t="str">
        <f t="shared" si="18"/>
        <v>No</v>
      </c>
    </row>
    <row r="567" spans="1:5" hidden="1" x14ac:dyDescent="0.25">
      <c r="A567" s="1">
        <v>45267</v>
      </c>
      <c r="B567">
        <v>4585.59</v>
      </c>
      <c r="C567" s="3">
        <f t="shared" si="17"/>
        <v>7.9681887922204101E-3</v>
      </c>
      <c r="D567">
        <f>MONTH(tbl_SP500_Clean[[#This Row],[observation_date]])</f>
        <v>12</v>
      </c>
      <c r="E567" t="str">
        <f t="shared" si="18"/>
        <v>No</v>
      </c>
    </row>
    <row r="568" spans="1:5" hidden="1" x14ac:dyDescent="0.25">
      <c r="A568" s="1">
        <v>45268</v>
      </c>
      <c r="B568">
        <v>4604.37</v>
      </c>
      <c r="C568" s="3">
        <f t="shared" si="17"/>
        <v>4.0954381006587468E-3</v>
      </c>
      <c r="D568">
        <f>MONTH(tbl_SP500_Clean[[#This Row],[observation_date]])</f>
        <v>12</v>
      </c>
      <c r="E568" t="str">
        <f t="shared" si="18"/>
        <v>No</v>
      </c>
    </row>
    <row r="569" spans="1:5" hidden="1" x14ac:dyDescent="0.25">
      <c r="A569" s="1">
        <v>45271</v>
      </c>
      <c r="B569">
        <v>4622.4399999999996</v>
      </c>
      <c r="C569" s="3">
        <f t="shared" si="17"/>
        <v>3.9245325636297059E-3</v>
      </c>
      <c r="D569">
        <f>MONTH(tbl_SP500_Clean[[#This Row],[observation_date]])</f>
        <v>12</v>
      </c>
      <c r="E569" t="str">
        <f t="shared" si="18"/>
        <v>No</v>
      </c>
    </row>
    <row r="570" spans="1:5" hidden="1" x14ac:dyDescent="0.25">
      <c r="A570" s="1">
        <v>45272</v>
      </c>
      <c r="B570">
        <v>4643.7</v>
      </c>
      <c r="C570" s="3">
        <f t="shared" si="17"/>
        <v>4.5993025328614802E-3</v>
      </c>
      <c r="D570">
        <f>MONTH(tbl_SP500_Clean[[#This Row],[observation_date]])</f>
        <v>12</v>
      </c>
      <c r="E570" t="str">
        <f t="shared" si="18"/>
        <v>No</v>
      </c>
    </row>
    <row r="571" spans="1:5" hidden="1" x14ac:dyDescent="0.25">
      <c r="A571" s="1">
        <v>45273</v>
      </c>
      <c r="B571">
        <v>4707.09</v>
      </c>
      <c r="C571" s="3">
        <f t="shared" si="17"/>
        <v>1.3650752632599076E-2</v>
      </c>
      <c r="D571">
        <f>MONTH(tbl_SP500_Clean[[#This Row],[observation_date]])</f>
        <v>12</v>
      </c>
      <c r="E571" t="str">
        <f t="shared" si="18"/>
        <v>No</v>
      </c>
    </row>
    <row r="572" spans="1:5" hidden="1" x14ac:dyDescent="0.25">
      <c r="A572" s="1">
        <v>45274</v>
      </c>
      <c r="B572">
        <v>4719.55</v>
      </c>
      <c r="C572" s="3">
        <f t="shared" si="17"/>
        <v>2.6470706954827795E-3</v>
      </c>
      <c r="D572">
        <f>MONTH(tbl_SP500_Clean[[#This Row],[observation_date]])</f>
        <v>12</v>
      </c>
      <c r="E572" t="str">
        <f t="shared" si="18"/>
        <v>No</v>
      </c>
    </row>
    <row r="573" spans="1:5" hidden="1" x14ac:dyDescent="0.25">
      <c r="A573" s="1">
        <v>45275</v>
      </c>
      <c r="B573">
        <v>4719.1899999999996</v>
      </c>
      <c r="C573" s="3">
        <f t="shared" si="17"/>
        <v>-7.6278458751487336E-5</v>
      </c>
      <c r="D573">
        <f>MONTH(tbl_SP500_Clean[[#This Row],[observation_date]])</f>
        <v>12</v>
      </c>
      <c r="E573" t="str">
        <f t="shared" si="18"/>
        <v>No</v>
      </c>
    </row>
    <row r="574" spans="1:5" hidden="1" x14ac:dyDescent="0.25">
      <c r="A574" s="1">
        <v>45278</v>
      </c>
      <c r="B574">
        <v>4740.5600000000004</v>
      </c>
      <c r="C574" s="3">
        <f t="shared" si="17"/>
        <v>4.5283194785547525E-3</v>
      </c>
      <c r="D574">
        <f>MONTH(tbl_SP500_Clean[[#This Row],[observation_date]])</f>
        <v>12</v>
      </c>
      <c r="E574" t="str">
        <f t="shared" si="18"/>
        <v>No</v>
      </c>
    </row>
    <row r="575" spans="1:5" hidden="1" x14ac:dyDescent="0.25">
      <c r="A575" s="1">
        <v>45279</v>
      </c>
      <c r="B575">
        <v>4768.37</v>
      </c>
      <c r="C575" s="3">
        <f t="shared" si="17"/>
        <v>5.8663955313295237E-3</v>
      </c>
      <c r="D575">
        <f>MONTH(tbl_SP500_Clean[[#This Row],[observation_date]])</f>
        <v>12</v>
      </c>
      <c r="E575" t="str">
        <f t="shared" si="18"/>
        <v>No</v>
      </c>
    </row>
    <row r="576" spans="1:5" hidden="1" x14ac:dyDescent="0.25">
      <c r="A576" s="1">
        <v>45280</v>
      </c>
      <c r="B576">
        <v>4698.3500000000004</v>
      </c>
      <c r="C576" s="3">
        <f t="shared" si="17"/>
        <v>-1.4684263175886001E-2</v>
      </c>
      <c r="D576">
        <f>MONTH(tbl_SP500_Clean[[#This Row],[observation_date]])</f>
        <v>12</v>
      </c>
      <c r="E576" t="str">
        <f t="shared" si="18"/>
        <v>No</v>
      </c>
    </row>
    <row r="577" spans="1:5" hidden="1" x14ac:dyDescent="0.25">
      <c r="A577" s="1">
        <v>45281</v>
      </c>
      <c r="B577">
        <v>4746.75</v>
      </c>
      <c r="C577" s="3">
        <f t="shared" si="17"/>
        <v>1.0301488820543304E-2</v>
      </c>
      <c r="D577">
        <f>MONTH(tbl_SP500_Clean[[#This Row],[observation_date]])</f>
        <v>12</v>
      </c>
      <c r="E577" t="str">
        <f t="shared" si="18"/>
        <v>No</v>
      </c>
    </row>
    <row r="578" spans="1:5" hidden="1" x14ac:dyDescent="0.25">
      <c r="A578" s="1">
        <v>45282</v>
      </c>
      <c r="B578">
        <v>4754.63</v>
      </c>
      <c r="C578" s="3">
        <f t="shared" ref="C578:C641" si="19">(B578-B577)/B577</f>
        <v>1.6600832148312233E-3</v>
      </c>
      <c r="D578">
        <f>MONTH(tbl_SP500_Clean[[#This Row],[observation_date]])</f>
        <v>12</v>
      </c>
      <c r="E578" t="str">
        <f t="shared" ref="E578:E641" si="20">IF(D578&lt;&gt;D579,"Yes","No")</f>
        <v>No</v>
      </c>
    </row>
    <row r="579" spans="1:5" hidden="1" x14ac:dyDescent="0.25">
      <c r="A579" s="1">
        <v>45285</v>
      </c>
      <c r="C579">
        <f t="shared" si="19"/>
        <v>-1</v>
      </c>
      <c r="D579">
        <f>MONTH(tbl_SP500_Clean[[#This Row],[observation_date]])</f>
        <v>12</v>
      </c>
      <c r="E579" t="str">
        <f t="shared" si="20"/>
        <v>No</v>
      </c>
    </row>
    <row r="580" spans="1:5" hidden="1" x14ac:dyDescent="0.25">
      <c r="A580" s="1">
        <v>45286</v>
      </c>
      <c r="B580">
        <v>4774.75</v>
      </c>
      <c r="C580" s="3" t="e">
        <f t="shared" si="19"/>
        <v>#DIV/0!</v>
      </c>
      <c r="D580">
        <f>MONTH(tbl_SP500_Clean[[#This Row],[observation_date]])</f>
        <v>12</v>
      </c>
      <c r="E580" t="str">
        <f t="shared" si="20"/>
        <v>No</v>
      </c>
    </row>
    <row r="581" spans="1:5" hidden="1" x14ac:dyDescent="0.25">
      <c r="A581" s="1">
        <v>45287</v>
      </c>
      <c r="B581">
        <v>4781.58</v>
      </c>
      <c r="C581" s="3">
        <f t="shared" si="19"/>
        <v>1.4304413843656584E-3</v>
      </c>
      <c r="D581">
        <f>MONTH(tbl_SP500_Clean[[#This Row],[observation_date]])</f>
        <v>12</v>
      </c>
      <c r="E581" t="str">
        <f t="shared" si="20"/>
        <v>No</v>
      </c>
    </row>
    <row r="582" spans="1:5" hidden="1" x14ac:dyDescent="0.25">
      <c r="A582" s="1">
        <v>45288</v>
      </c>
      <c r="B582">
        <v>4783.3500000000004</v>
      </c>
      <c r="C582" s="3">
        <f t="shared" si="19"/>
        <v>3.7017052940668913E-4</v>
      </c>
      <c r="D582">
        <f>MONTH(tbl_SP500_Clean[[#This Row],[observation_date]])</f>
        <v>12</v>
      </c>
      <c r="E582" t="str">
        <f t="shared" si="20"/>
        <v>No</v>
      </c>
    </row>
    <row r="583" spans="1:5" x14ac:dyDescent="0.25">
      <c r="A583" s="1">
        <v>45289</v>
      </c>
      <c r="B583">
        <v>4769.83</v>
      </c>
      <c r="C583" s="3">
        <f t="shared" si="19"/>
        <v>-2.8264709879060566E-3</v>
      </c>
      <c r="D583">
        <f>MONTH(tbl_SP500_Clean[[#This Row],[observation_date]])</f>
        <v>12</v>
      </c>
      <c r="E583" t="str">
        <f t="shared" si="20"/>
        <v>Yes</v>
      </c>
    </row>
    <row r="584" spans="1:5" hidden="1" x14ac:dyDescent="0.25">
      <c r="A584" s="1">
        <v>45292</v>
      </c>
      <c r="C584">
        <f t="shared" si="19"/>
        <v>-1</v>
      </c>
      <c r="D584">
        <f>MONTH(tbl_SP500_Clean[[#This Row],[observation_date]])</f>
        <v>1</v>
      </c>
      <c r="E584" t="str">
        <f t="shared" si="20"/>
        <v>No</v>
      </c>
    </row>
    <row r="585" spans="1:5" hidden="1" x14ac:dyDescent="0.25">
      <c r="A585" s="1">
        <v>45293</v>
      </c>
      <c r="B585">
        <v>4742.83</v>
      </c>
      <c r="C585" s="3" t="e">
        <f t="shared" si="19"/>
        <v>#DIV/0!</v>
      </c>
      <c r="D585">
        <f>MONTH(tbl_SP500_Clean[[#This Row],[observation_date]])</f>
        <v>1</v>
      </c>
      <c r="E585" t="str">
        <f t="shared" si="20"/>
        <v>No</v>
      </c>
    </row>
    <row r="586" spans="1:5" hidden="1" x14ac:dyDescent="0.25">
      <c r="A586" s="1">
        <v>45294</v>
      </c>
      <c r="B586">
        <v>4704.8100000000004</v>
      </c>
      <c r="C586" s="3">
        <f t="shared" si="19"/>
        <v>-8.0163109367191159E-3</v>
      </c>
      <c r="D586">
        <f>MONTH(tbl_SP500_Clean[[#This Row],[observation_date]])</f>
        <v>1</v>
      </c>
      <c r="E586" t="str">
        <f t="shared" si="20"/>
        <v>No</v>
      </c>
    </row>
    <row r="587" spans="1:5" hidden="1" x14ac:dyDescent="0.25">
      <c r="A587" s="1">
        <v>45295</v>
      </c>
      <c r="B587">
        <v>4688.68</v>
      </c>
      <c r="C587" s="3">
        <f t="shared" si="19"/>
        <v>-3.4284062480738025E-3</v>
      </c>
      <c r="D587">
        <f>MONTH(tbl_SP500_Clean[[#This Row],[observation_date]])</f>
        <v>1</v>
      </c>
      <c r="E587" t="str">
        <f t="shared" si="20"/>
        <v>No</v>
      </c>
    </row>
    <row r="588" spans="1:5" hidden="1" x14ac:dyDescent="0.25">
      <c r="A588" s="1">
        <v>45296</v>
      </c>
      <c r="B588">
        <v>4697.24</v>
      </c>
      <c r="C588" s="3">
        <f t="shared" si="19"/>
        <v>1.8256737503944587E-3</v>
      </c>
      <c r="D588">
        <f>MONTH(tbl_SP500_Clean[[#This Row],[observation_date]])</f>
        <v>1</v>
      </c>
      <c r="E588" t="str">
        <f t="shared" si="20"/>
        <v>No</v>
      </c>
    </row>
    <row r="589" spans="1:5" hidden="1" x14ac:dyDescent="0.25">
      <c r="A589" s="1">
        <v>45299</v>
      </c>
      <c r="B589">
        <v>4763.54</v>
      </c>
      <c r="C589" s="3">
        <f t="shared" si="19"/>
        <v>1.4114671594383123E-2</v>
      </c>
      <c r="D589">
        <f>MONTH(tbl_SP500_Clean[[#This Row],[observation_date]])</f>
        <v>1</v>
      </c>
      <c r="E589" t="str">
        <f t="shared" si="20"/>
        <v>No</v>
      </c>
    </row>
    <row r="590" spans="1:5" hidden="1" x14ac:dyDescent="0.25">
      <c r="A590" s="1">
        <v>45300</v>
      </c>
      <c r="B590">
        <v>4756.5</v>
      </c>
      <c r="C590" s="3">
        <f t="shared" si="19"/>
        <v>-1.4778924917183364E-3</v>
      </c>
      <c r="D590">
        <f>MONTH(tbl_SP500_Clean[[#This Row],[observation_date]])</f>
        <v>1</v>
      </c>
      <c r="E590" t="str">
        <f t="shared" si="20"/>
        <v>No</v>
      </c>
    </row>
    <row r="591" spans="1:5" hidden="1" x14ac:dyDescent="0.25">
      <c r="A591" s="1">
        <v>45301</v>
      </c>
      <c r="B591">
        <v>4783.45</v>
      </c>
      <c r="C591" s="3">
        <f t="shared" si="19"/>
        <v>5.6659308314937068E-3</v>
      </c>
      <c r="D591">
        <f>MONTH(tbl_SP500_Clean[[#This Row],[observation_date]])</f>
        <v>1</v>
      </c>
      <c r="E591" t="str">
        <f t="shared" si="20"/>
        <v>No</v>
      </c>
    </row>
    <row r="592" spans="1:5" hidden="1" x14ac:dyDescent="0.25">
      <c r="A592" s="1">
        <v>45302</v>
      </c>
      <c r="B592">
        <v>4780.24</v>
      </c>
      <c r="C592" s="3">
        <f t="shared" si="19"/>
        <v>-6.7106377196375763E-4</v>
      </c>
      <c r="D592">
        <f>MONTH(tbl_SP500_Clean[[#This Row],[observation_date]])</f>
        <v>1</v>
      </c>
      <c r="E592" t="str">
        <f t="shared" si="20"/>
        <v>No</v>
      </c>
    </row>
    <row r="593" spans="1:5" hidden="1" x14ac:dyDescent="0.25">
      <c r="A593" s="1">
        <v>45303</v>
      </c>
      <c r="B593">
        <v>4783.83</v>
      </c>
      <c r="C593" s="3">
        <f t="shared" si="19"/>
        <v>7.5100831757404351E-4</v>
      </c>
      <c r="D593">
        <f>MONTH(tbl_SP500_Clean[[#This Row],[observation_date]])</f>
        <v>1</v>
      </c>
      <c r="E593" t="str">
        <f t="shared" si="20"/>
        <v>No</v>
      </c>
    </row>
    <row r="594" spans="1:5" hidden="1" x14ac:dyDescent="0.25">
      <c r="A594" s="1">
        <v>45306</v>
      </c>
      <c r="C594">
        <f t="shared" si="19"/>
        <v>-1</v>
      </c>
      <c r="D594">
        <f>MONTH(tbl_SP500_Clean[[#This Row],[observation_date]])</f>
        <v>1</v>
      </c>
      <c r="E594" t="str">
        <f t="shared" si="20"/>
        <v>No</v>
      </c>
    </row>
    <row r="595" spans="1:5" hidden="1" x14ac:dyDescent="0.25">
      <c r="A595" s="1">
        <v>45307</v>
      </c>
      <c r="B595">
        <v>4765.9799999999996</v>
      </c>
      <c r="C595" s="3" t="e">
        <f t="shared" si="19"/>
        <v>#DIV/0!</v>
      </c>
      <c r="D595">
        <f>MONTH(tbl_SP500_Clean[[#This Row],[observation_date]])</f>
        <v>1</v>
      </c>
      <c r="E595" t="str">
        <f t="shared" si="20"/>
        <v>No</v>
      </c>
    </row>
    <row r="596" spans="1:5" hidden="1" x14ac:dyDescent="0.25">
      <c r="A596" s="1">
        <v>45308</v>
      </c>
      <c r="B596">
        <v>4739.21</v>
      </c>
      <c r="C596" s="3">
        <f t="shared" si="19"/>
        <v>-5.6168930629166575E-3</v>
      </c>
      <c r="D596">
        <f>MONTH(tbl_SP500_Clean[[#This Row],[observation_date]])</f>
        <v>1</v>
      </c>
      <c r="E596" t="str">
        <f t="shared" si="20"/>
        <v>No</v>
      </c>
    </row>
    <row r="597" spans="1:5" hidden="1" x14ac:dyDescent="0.25">
      <c r="A597" s="1">
        <v>45309</v>
      </c>
      <c r="B597">
        <v>4780.9399999999996</v>
      </c>
      <c r="C597" s="3">
        <f t="shared" si="19"/>
        <v>8.8052650125230916E-3</v>
      </c>
      <c r="D597">
        <f>MONTH(tbl_SP500_Clean[[#This Row],[observation_date]])</f>
        <v>1</v>
      </c>
      <c r="E597" t="str">
        <f t="shared" si="20"/>
        <v>No</v>
      </c>
    </row>
    <row r="598" spans="1:5" hidden="1" x14ac:dyDescent="0.25">
      <c r="A598" s="1">
        <v>45310</v>
      </c>
      <c r="B598">
        <v>4839.8100000000004</v>
      </c>
      <c r="C598" s="3">
        <f t="shared" si="19"/>
        <v>1.2313478102632705E-2</v>
      </c>
      <c r="D598">
        <f>MONTH(tbl_SP500_Clean[[#This Row],[observation_date]])</f>
        <v>1</v>
      </c>
      <c r="E598" t="str">
        <f t="shared" si="20"/>
        <v>No</v>
      </c>
    </row>
    <row r="599" spans="1:5" hidden="1" x14ac:dyDescent="0.25">
      <c r="A599" s="1">
        <v>45313</v>
      </c>
      <c r="B599">
        <v>4850.43</v>
      </c>
      <c r="C599" s="3">
        <f t="shared" si="19"/>
        <v>2.1943010159489506E-3</v>
      </c>
      <c r="D599">
        <f>MONTH(tbl_SP500_Clean[[#This Row],[observation_date]])</f>
        <v>1</v>
      </c>
      <c r="E599" t="str">
        <f t="shared" si="20"/>
        <v>No</v>
      </c>
    </row>
    <row r="600" spans="1:5" hidden="1" x14ac:dyDescent="0.25">
      <c r="A600" s="1">
        <v>45314</v>
      </c>
      <c r="B600">
        <v>4864.6000000000004</v>
      </c>
      <c r="C600" s="3">
        <f t="shared" si="19"/>
        <v>2.9213904746589626E-3</v>
      </c>
      <c r="D600">
        <f>MONTH(tbl_SP500_Clean[[#This Row],[observation_date]])</f>
        <v>1</v>
      </c>
      <c r="E600" t="str">
        <f t="shared" si="20"/>
        <v>No</v>
      </c>
    </row>
    <row r="601" spans="1:5" hidden="1" x14ac:dyDescent="0.25">
      <c r="A601" s="1">
        <v>45315</v>
      </c>
      <c r="B601">
        <v>4868.55</v>
      </c>
      <c r="C601" s="3">
        <f t="shared" si="19"/>
        <v>8.119886527154993E-4</v>
      </c>
      <c r="D601">
        <f>MONTH(tbl_SP500_Clean[[#This Row],[observation_date]])</f>
        <v>1</v>
      </c>
      <c r="E601" t="str">
        <f t="shared" si="20"/>
        <v>No</v>
      </c>
    </row>
    <row r="602" spans="1:5" hidden="1" x14ac:dyDescent="0.25">
      <c r="A602" s="1">
        <v>45316</v>
      </c>
      <c r="B602">
        <v>4894.16</v>
      </c>
      <c r="C602" s="3">
        <f t="shared" si="19"/>
        <v>5.2602931057501049E-3</v>
      </c>
      <c r="D602">
        <f>MONTH(tbl_SP500_Clean[[#This Row],[observation_date]])</f>
        <v>1</v>
      </c>
      <c r="E602" t="str">
        <f t="shared" si="20"/>
        <v>No</v>
      </c>
    </row>
    <row r="603" spans="1:5" hidden="1" x14ac:dyDescent="0.25">
      <c r="A603" s="1">
        <v>45317</v>
      </c>
      <c r="B603">
        <v>4890.97</v>
      </c>
      <c r="C603" s="3">
        <f t="shared" si="19"/>
        <v>-6.5179724406222927E-4</v>
      </c>
      <c r="D603">
        <f>MONTH(tbl_SP500_Clean[[#This Row],[observation_date]])</f>
        <v>1</v>
      </c>
      <c r="E603" t="str">
        <f t="shared" si="20"/>
        <v>No</v>
      </c>
    </row>
    <row r="604" spans="1:5" hidden="1" x14ac:dyDescent="0.25">
      <c r="A604" s="1">
        <v>45320</v>
      </c>
      <c r="B604">
        <v>4927.93</v>
      </c>
      <c r="C604" s="3">
        <f t="shared" si="19"/>
        <v>7.5567832147815329E-3</v>
      </c>
      <c r="D604">
        <f>MONTH(tbl_SP500_Clean[[#This Row],[observation_date]])</f>
        <v>1</v>
      </c>
      <c r="E604" t="str">
        <f t="shared" si="20"/>
        <v>No</v>
      </c>
    </row>
    <row r="605" spans="1:5" hidden="1" x14ac:dyDescent="0.25">
      <c r="A605" s="1">
        <v>45321</v>
      </c>
      <c r="B605">
        <v>4924.97</v>
      </c>
      <c r="C605" s="3">
        <f t="shared" si="19"/>
        <v>-6.0065788272155578E-4</v>
      </c>
      <c r="D605">
        <f>MONTH(tbl_SP500_Clean[[#This Row],[observation_date]])</f>
        <v>1</v>
      </c>
      <c r="E605" t="str">
        <f t="shared" si="20"/>
        <v>No</v>
      </c>
    </row>
    <row r="606" spans="1:5" x14ac:dyDescent="0.25">
      <c r="A606" s="1">
        <v>45322</v>
      </c>
      <c r="B606">
        <v>4845.6499999999996</v>
      </c>
      <c r="C606" s="3">
        <f t="shared" si="19"/>
        <v>-1.6105681862021621E-2</v>
      </c>
      <c r="D606">
        <f>MONTH(tbl_SP500_Clean[[#This Row],[observation_date]])</f>
        <v>1</v>
      </c>
      <c r="E606" t="str">
        <f t="shared" si="20"/>
        <v>Yes</v>
      </c>
    </row>
    <row r="607" spans="1:5" hidden="1" x14ac:dyDescent="0.25">
      <c r="A607" s="1">
        <v>45323</v>
      </c>
      <c r="B607">
        <v>4906.1899999999996</v>
      </c>
      <c r="C607" s="3">
        <f t="shared" si="19"/>
        <v>1.2493679898465627E-2</v>
      </c>
      <c r="D607">
        <f>MONTH(tbl_SP500_Clean[[#This Row],[observation_date]])</f>
        <v>2</v>
      </c>
      <c r="E607" t="str">
        <f t="shared" si="20"/>
        <v>No</v>
      </c>
    </row>
    <row r="608" spans="1:5" hidden="1" x14ac:dyDescent="0.25">
      <c r="A608" s="1">
        <v>45324</v>
      </c>
      <c r="B608">
        <v>4958.6099999999997</v>
      </c>
      <c r="C608" s="3">
        <f t="shared" si="19"/>
        <v>1.0684461873673884E-2</v>
      </c>
      <c r="D608">
        <f>MONTH(tbl_SP500_Clean[[#This Row],[observation_date]])</f>
        <v>2</v>
      </c>
      <c r="E608" t="str">
        <f t="shared" si="20"/>
        <v>No</v>
      </c>
    </row>
    <row r="609" spans="1:5" hidden="1" x14ac:dyDescent="0.25">
      <c r="A609" s="1">
        <v>45327</v>
      </c>
      <c r="B609">
        <v>4942.8100000000004</v>
      </c>
      <c r="C609" s="3">
        <f t="shared" si="19"/>
        <v>-3.1863768273768804E-3</v>
      </c>
      <c r="D609">
        <f>MONTH(tbl_SP500_Clean[[#This Row],[observation_date]])</f>
        <v>2</v>
      </c>
      <c r="E609" t="str">
        <f t="shared" si="20"/>
        <v>No</v>
      </c>
    </row>
    <row r="610" spans="1:5" hidden="1" x14ac:dyDescent="0.25">
      <c r="A610" s="1">
        <v>45328</v>
      </c>
      <c r="B610">
        <v>4954.2299999999996</v>
      </c>
      <c r="C610" s="3">
        <f t="shared" si="19"/>
        <v>2.3104266601384968E-3</v>
      </c>
      <c r="D610">
        <f>MONTH(tbl_SP500_Clean[[#This Row],[observation_date]])</f>
        <v>2</v>
      </c>
      <c r="E610" t="str">
        <f t="shared" si="20"/>
        <v>No</v>
      </c>
    </row>
    <row r="611" spans="1:5" hidden="1" x14ac:dyDescent="0.25">
      <c r="A611" s="1">
        <v>45329</v>
      </c>
      <c r="B611">
        <v>4995.0600000000004</v>
      </c>
      <c r="C611" s="3">
        <f t="shared" si="19"/>
        <v>8.2414421615469684E-3</v>
      </c>
      <c r="D611">
        <f>MONTH(tbl_SP500_Clean[[#This Row],[observation_date]])</f>
        <v>2</v>
      </c>
      <c r="E611" t="str">
        <f t="shared" si="20"/>
        <v>No</v>
      </c>
    </row>
    <row r="612" spans="1:5" hidden="1" x14ac:dyDescent="0.25">
      <c r="A612" s="1">
        <v>45330</v>
      </c>
      <c r="B612">
        <v>4997.91</v>
      </c>
      <c r="C612" s="3">
        <f t="shared" si="19"/>
        <v>5.7056371695223961E-4</v>
      </c>
      <c r="D612">
        <f>MONTH(tbl_SP500_Clean[[#This Row],[observation_date]])</f>
        <v>2</v>
      </c>
      <c r="E612" t="str">
        <f t="shared" si="20"/>
        <v>No</v>
      </c>
    </row>
    <row r="613" spans="1:5" hidden="1" x14ac:dyDescent="0.25">
      <c r="A613" s="1">
        <v>45331</v>
      </c>
      <c r="B613">
        <v>5026.6099999999997</v>
      </c>
      <c r="C613" s="3">
        <f t="shared" si="19"/>
        <v>5.7424003233351182E-3</v>
      </c>
      <c r="D613">
        <f>MONTH(tbl_SP500_Clean[[#This Row],[observation_date]])</f>
        <v>2</v>
      </c>
      <c r="E613" t="str">
        <f t="shared" si="20"/>
        <v>No</v>
      </c>
    </row>
    <row r="614" spans="1:5" hidden="1" x14ac:dyDescent="0.25">
      <c r="A614" s="1">
        <v>45334</v>
      </c>
      <c r="B614">
        <v>5021.84</v>
      </c>
      <c r="C614" s="3">
        <f t="shared" si="19"/>
        <v>-9.4894968975105037E-4</v>
      </c>
      <c r="D614">
        <f>MONTH(tbl_SP500_Clean[[#This Row],[observation_date]])</f>
        <v>2</v>
      </c>
      <c r="E614" t="str">
        <f t="shared" si="20"/>
        <v>No</v>
      </c>
    </row>
    <row r="615" spans="1:5" hidden="1" x14ac:dyDescent="0.25">
      <c r="A615" s="1">
        <v>45335</v>
      </c>
      <c r="B615">
        <v>4953.17</v>
      </c>
      <c r="C615" s="3">
        <f t="shared" si="19"/>
        <v>-1.3674270785210215E-2</v>
      </c>
      <c r="D615">
        <f>MONTH(tbl_SP500_Clean[[#This Row],[observation_date]])</f>
        <v>2</v>
      </c>
      <c r="E615" t="str">
        <f t="shared" si="20"/>
        <v>No</v>
      </c>
    </row>
    <row r="616" spans="1:5" hidden="1" x14ac:dyDescent="0.25">
      <c r="A616" s="1">
        <v>45336</v>
      </c>
      <c r="B616">
        <v>5000.62</v>
      </c>
      <c r="C616" s="3">
        <f t="shared" si="19"/>
        <v>9.5797236921001741E-3</v>
      </c>
      <c r="D616">
        <f>MONTH(tbl_SP500_Clean[[#This Row],[observation_date]])</f>
        <v>2</v>
      </c>
      <c r="E616" t="str">
        <f t="shared" si="20"/>
        <v>No</v>
      </c>
    </row>
    <row r="617" spans="1:5" hidden="1" x14ac:dyDescent="0.25">
      <c r="A617" s="1">
        <v>45337</v>
      </c>
      <c r="B617">
        <v>5029.7299999999996</v>
      </c>
      <c r="C617" s="3">
        <f t="shared" si="19"/>
        <v>5.8212781615079078E-3</v>
      </c>
      <c r="D617">
        <f>MONTH(tbl_SP500_Clean[[#This Row],[observation_date]])</f>
        <v>2</v>
      </c>
      <c r="E617" t="str">
        <f t="shared" si="20"/>
        <v>No</v>
      </c>
    </row>
    <row r="618" spans="1:5" hidden="1" x14ac:dyDescent="0.25">
      <c r="A618" s="1">
        <v>45338</v>
      </c>
      <c r="B618">
        <v>5005.57</v>
      </c>
      <c r="C618" s="3">
        <f t="shared" si="19"/>
        <v>-4.8034387531736009E-3</v>
      </c>
      <c r="D618">
        <f>MONTH(tbl_SP500_Clean[[#This Row],[observation_date]])</f>
        <v>2</v>
      </c>
      <c r="E618" t="str">
        <f t="shared" si="20"/>
        <v>No</v>
      </c>
    </row>
    <row r="619" spans="1:5" hidden="1" x14ac:dyDescent="0.25">
      <c r="A619" s="1">
        <v>45341</v>
      </c>
      <c r="C619">
        <f t="shared" si="19"/>
        <v>-1</v>
      </c>
      <c r="D619">
        <f>MONTH(tbl_SP500_Clean[[#This Row],[observation_date]])</f>
        <v>2</v>
      </c>
      <c r="E619" t="str">
        <f t="shared" si="20"/>
        <v>No</v>
      </c>
    </row>
    <row r="620" spans="1:5" hidden="1" x14ac:dyDescent="0.25">
      <c r="A620" s="1">
        <v>45342</v>
      </c>
      <c r="B620">
        <v>4975.51</v>
      </c>
      <c r="C620" s="3" t="e">
        <f t="shared" si="19"/>
        <v>#DIV/0!</v>
      </c>
      <c r="D620">
        <f>MONTH(tbl_SP500_Clean[[#This Row],[observation_date]])</f>
        <v>2</v>
      </c>
      <c r="E620" t="str">
        <f t="shared" si="20"/>
        <v>No</v>
      </c>
    </row>
    <row r="621" spans="1:5" hidden="1" x14ac:dyDescent="0.25">
      <c r="A621" s="1">
        <v>45343</v>
      </c>
      <c r="B621">
        <v>4981.8</v>
      </c>
      <c r="C621" s="3">
        <f t="shared" si="19"/>
        <v>1.2641920124771056E-3</v>
      </c>
      <c r="D621">
        <f>MONTH(tbl_SP500_Clean[[#This Row],[observation_date]])</f>
        <v>2</v>
      </c>
      <c r="E621" t="str">
        <f t="shared" si="20"/>
        <v>No</v>
      </c>
    </row>
    <row r="622" spans="1:5" hidden="1" x14ac:dyDescent="0.25">
      <c r="A622" s="1">
        <v>45344</v>
      </c>
      <c r="B622">
        <v>5087.03</v>
      </c>
      <c r="C622" s="3">
        <f t="shared" si="19"/>
        <v>2.112288730980761E-2</v>
      </c>
      <c r="D622">
        <f>MONTH(tbl_SP500_Clean[[#This Row],[observation_date]])</f>
        <v>2</v>
      </c>
      <c r="E622" t="str">
        <f t="shared" si="20"/>
        <v>No</v>
      </c>
    </row>
    <row r="623" spans="1:5" hidden="1" x14ac:dyDescent="0.25">
      <c r="A623" s="1">
        <v>45345</v>
      </c>
      <c r="B623">
        <v>5088.8</v>
      </c>
      <c r="C623" s="3">
        <f t="shared" si="19"/>
        <v>3.4794369209547351E-4</v>
      </c>
      <c r="D623">
        <f>MONTH(tbl_SP500_Clean[[#This Row],[observation_date]])</f>
        <v>2</v>
      </c>
      <c r="E623" t="str">
        <f t="shared" si="20"/>
        <v>No</v>
      </c>
    </row>
    <row r="624" spans="1:5" hidden="1" x14ac:dyDescent="0.25">
      <c r="A624" s="1">
        <v>45348</v>
      </c>
      <c r="B624">
        <v>5069.53</v>
      </c>
      <c r="C624" s="3">
        <f t="shared" si="19"/>
        <v>-3.7867473667663174E-3</v>
      </c>
      <c r="D624">
        <f>MONTH(tbl_SP500_Clean[[#This Row],[observation_date]])</f>
        <v>2</v>
      </c>
      <c r="E624" t="str">
        <f t="shared" si="20"/>
        <v>No</v>
      </c>
    </row>
    <row r="625" spans="1:5" hidden="1" x14ac:dyDescent="0.25">
      <c r="A625" s="1">
        <v>45349</v>
      </c>
      <c r="B625">
        <v>5078.18</v>
      </c>
      <c r="C625" s="3">
        <f t="shared" si="19"/>
        <v>1.7062725735917425E-3</v>
      </c>
      <c r="D625">
        <f>MONTH(tbl_SP500_Clean[[#This Row],[observation_date]])</f>
        <v>2</v>
      </c>
      <c r="E625" t="str">
        <f t="shared" si="20"/>
        <v>No</v>
      </c>
    </row>
    <row r="626" spans="1:5" hidden="1" x14ac:dyDescent="0.25">
      <c r="A626" s="1">
        <v>45350</v>
      </c>
      <c r="B626">
        <v>5069.76</v>
      </c>
      <c r="C626" s="3">
        <f t="shared" si="19"/>
        <v>-1.6580743494716754E-3</v>
      </c>
      <c r="D626">
        <f>MONTH(tbl_SP500_Clean[[#This Row],[observation_date]])</f>
        <v>2</v>
      </c>
      <c r="E626" t="str">
        <f t="shared" si="20"/>
        <v>No</v>
      </c>
    </row>
    <row r="627" spans="1:5" x14ac:dyDescent="0.25">
      <c r="A627" s="1">
        <v>45351</v>
      </c>
      <c r="B627">
        <v>5096.2700000000004</v>
      </c>
      <c r="C627" s="3">
        <f t="shared" si="19"/>
        <v>5.2290443729092143E-3</v>
      </c>
      <c r="D627">
        <f>MONTH(tbl_SP500_Clean[[#This Row],[observation_date]])</f>
        <v>2</v>
      </c>
      <c r="E627" t="str">
        <f t="shared" si="20"/>
        <v>Yes</v>
      </c>
    </row>
    <row r="628" spans="1:5" hidden="1" x14ac:dyDescent="0.25">
      <c r="A628" s="1">
        <v>45352</v>
      </c>
      <c r="B628">
        <v>5137.08</v>
      </c>
      <c r="C628" s="3">
        <f t="shared" si="19"/>
        <v>8.0078174821976641E-3</v>
      </c>
      <c r="D628">
        <f>MONTH(tbl_SP500_Clean[[#This Row],[observation_date]])</f>
        <v>3</v>
      </c>
      <c r="E628" t="str">
        <f t="shared" si="20"/>
        <v>No</v>
      </c>
    </row>
    <row r="629" spans="1:5" hidden="1" x14ac:dyDescent="0.25">
      <c r="A629" s="1">
        <v>45355</v>
      </c>
      <c r="B629">
        <v>5130.95</v>
      </c>
      <c r="C629" s="3">
        <f t="shared" si="19"/>
        <v>-1.1932849011500909E-3</v>
      </c>
      <c r="D629">
        <f>MONTH(tbl_SP500_Clean[[#This Row],[observation_date]])</f>
        <v>3</v>
      </c>
      <c r="E629" t="str">
        <f t="shared" si="20"/>
        <v>No</v>
      </c>
    </row>
    <row r="630" spans="1:5" hidden="1" x14ac:dyDescent="0.25">
      <c r="A630" s="1">
        <v>45356</v>
      </c>
      <c r="B630">
        <v>5078.6499999999996</v>
      </c>
      <c r="C630" s="3">
        <f t="shared" si="19"/>
        <v>-1.019304417310638E-2</v>
      </c>
      <c r="D630">
        <f>MONTH(tbl_SP500_Clean[[#This Row],[observation_date]])</f>
        <v>3</v>
      </c>
      <c r="E630" t="str">
        <f t="shared" si="20"/>
        <v>No</v>
      </c>
    </row>
    <row r="631" spans="1:5" hidden="1" x14ac:dyDescent="0.25">
      <c r="A631" s="1">
        <v>45357</v>
      </c>
      <c r="B631">
        <v>5104.76</v>
      </c>
      <c r="C631" s="3">
        <f t="shared" si="19"/>
        <v>5.1411300247114064E-3</v>
      </c>
      <c r="D631">
        <f>MONTH(tbl_SP500_Clean[[#This Row],[observation_date]])</f>
        <v>3</v>
      </c>
      <c r="E631" t="str">
        <f t="shared" si="20"/>
        <v>No</v>
      </c>
    </row>
    <row r="632" spans="1:5" hidden="1" x14ac:dyDescent="0.25">
      <c r="A632" s="1">
        <v>45358</v>
      </c>
      <c r="B632">
        <v>5157.3599999999997</v>
      </c>
      <c r="C632" s="3">
        <f t="shared" si="19"/>
        <v>1.0304108322428372E-2</v>
      </c>
      <c r="D632">
        <f>MONTH(tbl_SP500_Clean[[#This Row],[observation_date]])</f>
        <v>3</v>
      </c>
      <c r="E632" t="str">
        <f t="shared" si="20"/>
        <v>No</v>
      </c>
    </row>
    <row r="633" spans="1:5" hidden="1" x14ac:dyDescent="0.25">
      <c r="A633" s="1">
        <v>45359</v>
      </c>
      <c r="B633">
        <v>5123.6899999999996</v>
      </c>
      <c r="C633" s="3">
        <f t="shared" si="19"/>
        <v>-6.5285339786247372E-3</v>
      </c>
      <c r="D633">
        <f>MONTH(tbl_SP500_Clean[[#This Row],[observation_date]])</f>
        <v>3</v>
      </c>
      <c r="E633" t="str">
        <f t="shared" si="20"/>
        <v>No</v>
      </c>
    </row>
    <row r="634" spans="1:5" hidden="1" x14ac:dyDescent="0.25">
      <c r="A634" s="1">
        <v>45362</v>
      </c>
      <c r="B634">
        <v>5117.9399999999996</v>
      </c>
      <c r="C634" s="3">
        <f t="shared" si="19"/>
        <v>-1.1222380745127048E-3</v>
      </c>
      <c r="D634">
        <f>MONTH(tbl_SP500_Clean[[#This Row],[observation_date]])</f>
        <v>3</v>
      </c>
      <c r="E634" t="str">
        <f t="shared" si="20"/>
        <v>No</v>
      </c>
    </row>
    <row r="635" spans="1:5" hidden="1" x14ac:dyDescent="0.25">
      <c r="A635" s="1">
        <v>45363</v>
      </c>
      <c r="B635">
        <v>5175.2700000000004</v>
      </c>
      <c r="C635" s="3">
        <f t="shared" si="19"/>
        <v>1.1201772588189943E-2</v>
      </c>
      <c r="D635">
        <f>MONTH(tbl_SP500_Clean[[#This Row],[observation_date]])</f>
        <v>3</v>
      </c>
      <c r="E635" t="str">
        <f t="shared" si="20"/>
        <v>No</v>
      </c>
    </row>
    <row r="636" spans="1:5" hidden="1" x14ac:dyDescent="0.25">
      <c r="A636" s="1">
        <v>45364</v>
      </c>
      <c r="B636">
        <v>5165.3100000000004</v>
      </c>
      <c r="C636" s="3">
        <f t="shared" si="19"/>
        <v>-1.9245372705192262E-3</v>
      </c>
      <c r="D636">
        <f>MONTH(tbl_SP500_Clean[[#This Row],[observation_date]])</f>
        <v>3</v>
      </c>
      <c r="E636" t="str">
        <f t="shared" si="20"/>
        <v>No</v>
      </c>
    </row>
    <row r="637" spans="1:5" hidden="1" x14ac:dyDescent="0.25">
      <c r="A637" s="1">
        <v>45365</v>
      </c>
      <c r="B637">
        <v>5150.4799999999996</v>
      </c>
      <c r="C637" s="3">
        <f t="shared" si="19"/>
        <v>-2.8710764697570594E-3</v>
      </c>
      <c r="D637">
        <f>MONTH(tbl_SP500_Clean[[#This Row],[observation_date]])</f>
        <v>3</v>
      </c>
      <c r="E637" t="str">
        <f t="shared" si="20"/>
        <v>No</v>
      </c>
    </row>
    <row r="638" spans="1:5" hidden="1" x14ac:dyDescent="0.25">
      <c r="A638" s="1">
        <v>45366</v>
      </c>
      <c r="B638">
        <v>5117.09</v>
      </c>
      <c r="C638" s="3">
        <f t="shared" si="19"/>
        <v>-6.4828909150214005E-3</v>
      </c>
      <c r="D638">
        <f>MONTH(tbl_SP500_Clean[[#This Row],[observation_date]])</f>
        <v>3</v>
      </c>
      <c r="E638" t="str">
        <f t="shared" si="20"/>
        <v>No</v>
      </c>
    </row>
    <row r="639" spans="1:5" hidden="1" x14ac:dyDescent="0.25">
      <c r="A639" s="1">
        <v>45369</v>
      </c>
      <c r="B639">
        <v>5149.42</v>
      </c>
      <c r="C639" s="3">
        <f t="shared" si="19"/>
        <v>6.3180440445643766E-3</v>
      </c>
      <c r="D639">
        <f>MONTH(tbl_SP500_Clean[[#This Row],[observation_date]])</f>
        <v>3</v>
      </c>
      <c r="E639" t="str">
        <f t="shared" si="20"/>
        <v>No</v>
      </c>
    </row>
    <row r="640" spans="1:5" hidden="1" x14ac:dyDescent="0.25">
      <c r="A640" s="1">
        <v>45370</v>
      </c>
      <c r="B640">
        <v>5178.51</v>
      </c>
      <c r="C640" s="3">
        <f t="shared" si="19"/>
        <v>5.6491799076401122E-3</v>
      </c>
      <c r="D640">
        <f>MONTH(tbl_SP500_Clean[[#This Row],[observation_date]])</f>
        <v>3</v>
      </c>
      <c r="E640" t="str">
        <f t="shared" si="20"/>
        <v>No</v>
      </c>
    </row>
    <row r="641" spans="1:5" hidden="1" x14ac:dyDescent="0.25">
      <c r="A641" s="1">
        <v>45371</v>
      </c>
      <c r="B641">
        <v>5224.62</v>
      </c>
      <c r="C641" s="3">
        <f t="shared" si="19"/>
        <v>8.9041056211148911E-3</v>
      </c>
      <c r="D641">
        <f>MONTH(tbl_SP500_Clean[[#This Row],[observation_date]])</f>
        <v>3</v>
      </c>
      <c r="E641" t="str">
        <f t="shared" si="20"/>
        <v>No</v>
      </c>
    </row>
    <row r="642" spans="1:5" hidden="1" x14ac:dyDescent="0.25">
      <c r="A642" s="1">
        <v>45372</v>
      </c>
      <c r="B642">
        <v>5241.53</v>
      </c>
      <c r="C642" s="3">
        <f t="shared" ref="C642:C705" si="21">(B642-B641)/B641</f>
        <v>3.2365990253836363E-3</v>
      </c>
      <c r="D642">
        <f>MONTH(tbl_SP500_Clean[[#This Row],[observation_date]])</f>
        <v>3</v>
      </c>
      <c r="E642" t="str">
        <f t="shared" ref="E642:E705" si="22">IF(D642&lt;&gt;D643,"Yes","No")</f>
        <v>No</v>
      </c>
    </row>
    <row r="643" spans="1:5" hidden="1" x14ac:dyDescent="0.25">
      <c r="A643" s="1">
        <v>45373</v>
      </c>
      <c r="B643">
        <v>5234.18</v>
      </c>
      <c r="C643" s="3">
        <f t="shared" si="21"/>
        <v>-1.4022623165372429E-3</v>
      </c>
      <c r="D643">
        <f>MONTH(tbl_SP500_Clean[[#This Row],[observation_date]])</f>
        <v>3</v>
      </c>
      <c r="E643" t="str">
        <f t="shared" si="22"/>
        <v>No</v>
      </c>
    </row>
    <row r="644" spans="1:5" hidden="1" x14ac:dyDescent="0.25">
      <c r="A644" s="1">
        <v>45376</v>
      </c>
      <c r="B644">
        <v>5218.1899999999996</v>
      </c>
      <c r="C644" s="3">
        <f t="shared" si="21"/>
        <v>-3.054919777310045E-3</v>
      </c>
      <c r="D644">
        <f>MONTH(tbl_SP500_Clean[[#This Row],[observation_date]])</f>
        <v>3</v>
      </c>
      <c r="E644" t="str">
        <f t="shared" si="22"/>
        <v>No</v>
      </c>
    </row>
    <row r="645" spans="1:5" hidden="1" x14ac:dyDescent="0.25">
      <c r="A645" s="1">
        <v>45377</v>
      </c>
      <c r="B645">
        <v>5203.58</v>
      </c>
      <c r="C645" s="3">
        <f t="shared" si="21"/>
        <v>-2.7998213940082046E-3</v>
      </c>
      <c r="D645">
        <f>MONTH(tbl_SP500_Clean[[#This Row],[observation_date]])</f>
        <v>3</v>
      </c>
      <c r="E645" t="str">
        <f t="shared" si="22"/>
        <v>No</v>
      </c>
    </row>
    <row r="646" spans="1:5" hidden="1" x14ac:dyDescent="0.25">
      <c r="A646" s="1">
        <v>45378</v>
      </c>
      <c r="B646">
        <v>5248.49</v>
      </c>
      <c r="C646" s="3">
        <f t="shared" si="21"/>
        <v>8.6305966277062818E-3</v>
      </c>
      <c r="D646">
        <f>MONTH(tbl_SP500_Clean[[#This Row],[observation_date]])</f>
        <v>3</v>
      </c>
      <c r="E646" t="str">
        <f t="shared" si="22"/>
        <v>No</v>
      </c>
    </row>
    <row r="647" spans="1:5" hidden="1" x14ac:dyDescent="0.25">
      <c r="A647" s="1">
        <v>45379</v>
      </c>
      <c r="B647">
        <v>5254.35</v>
      </c>
      <c r="C647" s="3">
        <f t="shared" si="21"/>
        <v>1.1165116061954167E-3</v>
      </c>
      <c r="D647">
        <f>MONTH(tbl_SP500_Clean[[#This Row],[observation_date]])</f>
        <v>3</v>
      </c>
      <c r="E647" t="str">
        <f t="shared" si="22"/>
        <v>No</v>
      </c>
    </row>
    <row r="648" spans="1:5" hidden="1" x14ac:dyDescent="0.25">
      <c r="A648" s="1">
        <v>45380</v>
      </c>
      <c r="C648">
        <f t="shared" si="21"/>
        <v>-1</v>
      </c>
      <c r="D648">
        <f>MONTH(tbl_SP500_Clean[[#This Row],[observation_date]])</f>
        <v>3</v>
      </c>
      <c r="E648" t="str">
        <f t="shared" si="22"/>
        <v>Yes</v>
      </c>
    </row>
    <row r="649" spans="1:5" hidden="1" x14ac:dyDescent="0.25">
      <c r="A649" s="1">
        <v>45383</v>
      </c>
      <c r="B649">
        <v>5243.77</v>
      </c>
      <c r="C649" s="3" t="e">
        <f t="shared" si="21"/>
        <v>#DIV/0!</v>
      </c>
      <c r="D649">
        <f>MONTH(tbl_SP500_Clean[[#This Row],[observation_date]])</f>
        <v>4</v>
      </c>
      <c r="E649" t="str">
        <f t="shared" si="22"/>
        <v>No</v>
      </c>
    </row>
    <row r="650" spans="1:5" hidden="1" x14ac:dyDescent="0.25">
      <c r="A650" s="1">
        <v>45384</v>
      </c>
      <c r="B650">
        <v>5205.8100000000004</v>
      </c>
      <c r="C650" s="3">
        <f t="shared" si="21"/>
        <v>-7.2390665494482089E-3</v>
      </c>
      <c r="D650">
        <f>MONTH(tbl_SP500_Clean[[#This Row],[observation_date]])</f>
        <v>4</v>
      </c>
      <c r="E650" t="str">
        <f t="shared" si="22"/>
        <v>No</v>
      </c>
    </row>
    <row r="651" spans="1:5" hidden="1" x14ac:dyDescent="0.25">
      <c r="A651" s="1">
        <v>45385</v>
      </c>
      <c r="B651">
        <v>5211.49</v>
      </c>
      <c r="C651" s="3">
        <f t="shared" si="21"/>
        <v>1.0910886106099496E-3</v>
      </c>
      <c r="D651">
        <f>MONTH(tbl_SP500_Clean[[#This Row],[observation_date]])</f>
        <v>4</v>
      </c>
      <c r="E651" t="str">
        <f t="shared" si="22"/>
        <v>No</v>
      </c>
    </row>
    <row r="652" spans="1:5" hidden="1" x14ac:dyDescent="0.25">
      <c r="A652" s="1">
        <v>45386</v>
      </c>
      <c r="B652">
        <v>5147.21</v>
      </c>
      <c r="C652" s="3">
        <f t="shared" si="21"/>
        <v>-1.2334284436888443E-2</v>
      </c>
      <c r="D652">
        <f>MONTH(tbl_SP500_Clean[[#This Row],[observation_date]])</f>
        <v>4</v>
      </c>
      <c r="E652" t="str">
        <f t="shared" si="22"/>
        <v>No</v>
      </c>
    </row>
    <row r="653" spans="1:5" hidden="1" x14ac:dyDescent="0.25">
      <c r="A653" s="1">
        <v>45387</v>
      </c>
      <c r="B653">
        <v>5204.34</v>
      </c>
      <c r="C653" s="3">
        <f t="shared" si="21"/>
        <v>1.1099216857287755E-2</v>
      </c>
      <c r="D653">
        <f>MONTH(tbl_SP500_Clean[[#This Row],[observation_date]])</f>
        <v>4</v>
      </c>
      <c r="E653" t="str">
        <f t="shared" si="22"/>
        <v>No</v>
      </c>
    </row>
    <row r="654" spans="1:5" hidden="1" x14ac:dyDescent="0.25">
      <c r="A654" s="1">
        <v>45390</v>
      </c>
      <c r="B654">
        <v>5202.3900000000003</v>
      </c>
      <c r="C654" s="3">
        <f t="shared" si="21"/>
        <v>-3.7468728023146413E-4</v>
      </c>
      <c r="D654">
        <f>MONTH(tbl_SP500_Clean[[#This Row],[observation_date]])</f>
        <v>4</v>
      </c>
      <c r="E654" t="str">
        <f t="shared" si="22"/>
        <v>No</v>
      </c>
    </row>
    <row r="655" spans="1:5" hidden="1" x14ac:dyDescent="0.25">
      <c r="A655" s="1">
        <v>45391</v>
      </c>
      <c r="B655">
        <v>5209.91</v>
      </c>
      <c r="C655" s="3">
        <f t="shared" si="21"/>
        <v>1.4454894769518483E-3</v>
      </c>
      <c r="D655">
        <f>MONTH(tbl_SP500_Clean[[#This Row],[observation_date]])</f>
        <v>4</v>
      </c>
      <c r="E655" t="str">
        <f t="shared" si="22"/>
        <v>No</v>
      </c>
    </row>
    <row r="656" spans="1:5" hidden="1" x14ac:dyDescent="0.25">
      <c r="A656" s="1">
        <v>45392</v>
      </c>
      <c r="B656">
        <v>5160.6400000000003</v>
      </c>
      <c r="C656" s="3">
        <f t="shared" si="21"/>
        <v>-9.456977183866809E-3</v>
      </c>
      <c r="D656">
        <f>MONTH(tbl_SP500_Clean[[#This Row],[observation_date]])</f>
        <v>4</v>
      </c>
      <c r="E656" t="str">
        <f t="shared" si="22"/>
        <v>No</v>
      </c>
    </row>
    <row r="657" spans="1:5" hidden="1" x14ac:dyDescent="0.25">
      <c r="A657" s="1">
        <v>45393</v>
      </c>
      <c r="B657">
        <v>5199.0600000000004</v>
      </c>
      <c r="C657" s="3">
        <f t="shared" si="21"/>
        <v>7.4448130464438659E-3</v>
      </c>
      <c r="D657">
        <f>MONTH(tbl_SP500_Clean[[#This Row],[observation_date]])</f>
        <v>4</v>
      </c>
      <c r="E657" t="str">
        <f t="shared" si="22"/>
        <v>No</v>
      </c>
    </row>
    <row r="658" spans="1:5" hidden="1" x14ac:dyDescent="0.25">
      <c r="A658" s="1">
        <v>45394</v>
      </c>
      <c r="B658">
        <v>5123.41</v>
      </c>
      <c r="C658" s="3">
        <f t="shared" si="21"/>
        <v>-1.4550707243232534E-2</v>
      </c>
      <c r="D658">
        <f>MONTH(tbl_SP500_Clean[[#This Row],[observation_date]])</f>
        <v>4</v>
      </c>
      <c r="E658" t="str">
        <f t="shared" si="22"/>
        <v>No</v>
      </c>
    </row>
    <row r="659" spans="1:5" hidden="1" x14ac:dyDescent="0.25">
      <c r="A659" s="1">
        <v>45397</v>
      </c>
      <c r="B659">
        <v>5061.82</v>
      </c>
      <c r="C659" s="3">
        <f t="shared" si="21"/>
        <v>-1.2021290507689244E-2</v>
      </c>
      <c r="D659">
        <f>MONTH(tbl_SP500_Clean[[#This Row],[observation_date]])</f>
        <v>4</v>
      </c>
      <c r="E659" t="str">
        <f t="shared" si="22"/>
        <v>No</v>
      </c>
    </row>
    <row r="660" spans="1:5" hidden="1" x14ac:dyDescent="0.25">
      <c r="A660" s="1">
        <v>45398</v>
      </c>
      <c r="B660">
        <v>5051.41</v>
      </c>
      <c r="C660" s="3">
        <f t="shared" si="21"/>
        <v>-2.0565725371506404E-3</v>
      </c>
      <c r="D660">
        <f>MONTH(tbl_SP500_Clean[[#This Row],[observation_date]])</f>
        <v>4</v>
      </c>
      <c r="E660" t="str">
        <f t="shared" si="22"/>
        <v>No</v>
      </c>
    </row>
    <row r="661" spans="1:5" hidden="1" x14ac:dyDescent="0.25">
      <c r="A661" s="1">
        <v>45399</v>
      </c>
      <c r="B661">
        <v>5022.21</v>
      </c>
      <c r="C661" s="3">
        <f t="shared" si="21"/>
        <v>-5.7805642384997098E-3</v>
      </c>
      <c r="D661">
        <f>MONTH(tbl_SP500_Clean[[#This Row],[observation_date]])</f>
        <v>4</v>
      </c>
      <c r="E661" t="str">
        <f t="shared" si="22"/>
        <v>No</v>
      </c>
    </row>
    <row r="662" spans="1:5" hidden="1" x14ac:dyDescent="0.25">
      <c r="A662" s="1">
        <v>45400</v>
      </c>
      <c r="B662">
        <v>5011.12</v>
      </c>
      <c r="C662" s="3">
        <f t="shared" si="21"/>
        <v>-2.2081912146246665E-3</v>
      </c>
      <c r="D662">
        <f>MONTH(tbl_SP500_Clean[[#This Row],[observation_date]])</f>
        <v>4</v>
      </c>
      <c r="E662" t="str">
        <f t="shared" si="22"/>
        <v>No</v>
      </c>
    </row>
    <row r="663" spans="1:5" hidden="1" x14ac:dyDescent="0.25">
      <c r="A663" s="1">
        <v>45401</v>
      </c>
      <c r="B663">
        <v>4967.2299999999996</v>
      </c>
      <c r="C663" s="3">
        <f t="shared" si="21"/>
        <v>-8.7585210491866738E-3</v>
      </c>
      <c r="D663">
        <f>MONTH(tbl_SP500_Clean[[#This Row],[observation_date]])</f>
        <v>4</v>
      </c>
      <c r="E663" t="str">
        <f t="shared" si="22"/>
        <v>No</v>
      </c>
    </row>
    <row r="664" spans="1:5" hidden="1" x14ac:dyDescent="0.25">
      <c r="A664" s="1">
        <v>45404</v>
      </c>
      <c r="B664">
        <v>5010.6000000000004</v>
      </c>
      <c r="C664" s="3">
        <f t="shared" si="21"/>
        <v>8.7312244450127741E-3</v>
      </c>
      <c r="D664">
        <f>MONTH(tbl_SP500_Clean[[#This Row],[observation_date]])</f>
        <v>4</v>
      </c>
      <c r="E664" t="str">
        <f t="shared" si="22"/>
        <v>No</v>
      </c>
    </row>
    <row r="665" spans="1:5" hidden="1" x14ac:dyDescent="0.25">
      <c r="A665" s="1">
        <v>45405</v>
      </c>
      <c r="B665">
        <v>5070.55</v>
      </c>
      <c r="C665" s="3">
        <f t="shared" si="21"/>
        <v>1.1964634973855389E-2</v>
      </c>
      <c r="D665">
        <f>MONTH(tbl_SP500_Clean[[#This Row],[observation_date]])</f>
        <v>4</v>
      </c>
      <c r="E665" t="str">
        <f t="shared" si="22"/>
        <v>No</v>
      </c>
    </row>
    <row r="666" spans="1:5" hidden="1" x14ac:dyDescent="0.25">
      <c r="A666" s="1">
        <v>45406</v>
      </c>
      <c r="B666">
        <v>5071.63</v>
      </c>
      <c r="C666" s="3">
        <f t="shared" si="21"/>
        <v>2.1299464555125721E-4</v>
      </c>
      <c r="D666">
        <f>MONTH(tbl_SP500_Clean[[#This Row],[observation_date]])</f>
        <v>4</v>
      </c>
      <c r="E666" t="str">
        <f t="shared" si="22"/>
        <v>No</v>
      </c>
    </row>
    <row r="667" spans="1:5" hidden="1" x14ac:dyDescent="0.25">
      <c r="A667" s="1">
        <v>45407</v>
      </c>
      <c r="B667">
        <v>5048.42</v>
      </c>
      <c r="C667" s="3">
        <f t="shared" si="21"/>
        <v>-4.5764379499293201E-3</v>
      </c>
      <c r="D667">
        <f>MONTH(tbl_SP500_Clean[[#This Row],[observation_date]])</f>
        <v>4</v>
      </c>
      <c r="E667" t="str">
        <f t="shared" si="22"/>
        <v>No</v>
      </c>
    </row>
    <row r="668" spans="1:5" hidden="1" x14ac:dyDescent="0.25">
      <c r="A668" s="1">
        <v>45408</v>
      </c>
      <c r="B668">
        <v>5099.96</v>
      </c>
      <c r="C668" s="3">
        <f t="shared" si="21"/>
        <v>1.0209134739185718E-2</v>
      </c>
      <c r="D668">
        <f>MONTH(tbl_SP500_Clean[[#This Row],[observation_date]])</f>
        <v>4</v>
      </c>
      <c r="E668" t="str">
        <f t="shared" si="22"/>
        <v>No</v>
      </c>
    </row>
    <row r="669" spans="1:5" hidden="1" x14ac:dyDescent="0.25">
      <c r="A669" s="1">
        <v>45411</v>
      </c>
      <c r="B669">
        <v>5116.17</v>
      </c>
      <c r="C669" s="3">
        <f t="shared" si="21"/>
        <v>3.1784563016180592E-3</v>
      </c>
      <c r="D669">
        <f>MONTH(tbl_SP500_Clean[[#This Row],[observation_date]])</f>
        <v>4</v>
      </c>
      <c r="E669" t="str">
        <f t="shared" si="22"/>
        <v>No</v>
      </c>
    </row>
    <row r="670" spans="1:5" x14ac:dyDescent="0.25">
      <c r="A670" s="1">
        <v>45412</v>
      </c>
      <c r="B670">
        <v>5035.6899999999996</v>
      </c>
      <c r="C670" s="3">
        <f t="shared" si="21"/>
        <v>-1.5730517164206911E-2</v>
      </c>
      <c r="D670">
        <f>MONTH(tbl_SP500_Clean[[#This Row],[observation_date]])</f>
        <v>4</v>
      </c>
      <c r="E670" t="str">
        <f t="shared" si="22"/>
        <v>Yes</v>
      </c>
    </row>
    <row r="671" spans="1:5" hidden="1" x14ac:dyDescent="0.25">
      <c r="A671" s="1">
        <v>45413</v>
      </c>
      <c r="B671">
        <v>5018.3900000000003</v>
      </c>
      <c r="C671" s="3">
        <f t="shared" si="21"/>
        <v>-3.4354775611682357E-3</v>
      </c>
      <c r="D671">
        <f>MONTH(tbl_SP500_Clean[[#This Row],[observation_date]])</f>
        <v>5</v>
      </c>
      <c r="E671" t="str">
        <f t="shared" si="22"/>
        <v>No</v>
      </c>
    </row>
    <row r="672" spans="1:5" hidden="1" x14ac:dyDescent="0.25">
      <c r="A672" s="1">
        <v>45414</v>
      </c>
      <c r="B672">
        <v>5064.2</v>
      </c>
      <c r="C672" s="3">
        <f t="shared" si="21"/>
        <v>9.128425650457515E-3</v>
      </c>
      <c r="D672">
        <f>MONTH(tbl_SP500_Clean[[#This Row],[observation_date]])</f>
        <v>5</v>
      </c>
      <c r="E672" t="str">
        <f t="shared" si="22"/>
        <v>No</v>
      </c>
    </row>
    <row r="673" spans="1:5" hidden="1" x14ac:dyDescent="0.25">
      <c r="A673" s="1">
        <v>45415</v>
      </c>
      <c r="B673">
        <v>5127.79</v>
      </c>
      <c r="C673" s="3">
        <f t="shared" si="21"/>
        <v>1.2556771059594832E-2</v>
      </c>
      <c r="D673">
        <f>MONTH(tbl_SP500_Clean[[#This Row],[observation_date]])</f>
        <v>5</v>
      </c>
      <c r="E673" t="str">
        <f t="shared" si="22"/>
        <v>No</v>
      </c>
    </row>
    <row r="674" spans="1:5" hidden="1" x14ac:dyDescent="0.25">
      <c r="A674" s="1">
        <v>45418</v>
      </c>
      <c r="B674">
        <v>5180.74</v>
      </c>
      <c r="C674" s="3">
        <f t="shared" si="21"/>
        <v>1.0326085896653299E-2</v>
      </c>
      <c r="D674">
        <f>MONTH(tbl_SP500_Clean[[#This Row],[observation_date]])</f>
        <v>5</v>
      </c>
      <c r="E674" t="str">
        <f t="shared" si="22"/>
        <v>No</v>
      </c>
    </row>
    <row r="675" spans="1:5" hidden="1" x14ac:dyDescent="0.25">
      <c r="A675" s="1">
        <v>45419</v>
      </c>
      <c r="B675">
        <v>5187.7</v>
      </c>
      <c r="C675" s="3">
        <f t="shared" si="21"/>
        <v>1.3434374239973512E-3</v>
      </c>
      <c r="D675">
        <f>MONTH(tbl_SP500_Clean[[#This Row],[observation_date]])</f>
        <v>5</v>
      </c>
      <c r="E675" t="str">
        <f t="shared" si="22"/>
        <v>No</v>
      </c>
    </row>
    <row r="676" spans="1:5" hidden="1" x14ac:dyDescent="0.25">
      <c r="A676" s="1">
        <v>45420</v>
      </c>
      <c r="B676">
        <v>5187.67</v>
      </c>
      <c r="C676" s="3">
        <f t="shared" si="21"/>
        <v>-5.7829095745215304E-6</v>
      </c>
      <c r="D676">
        <f>MONTH(tbl_SP500_Clean[[#This Row],[observation_date]])</f>
        <v>5</v>
      </c>
      <c r="E676" t="str">
        <f t="shared" si="22"/>
        <v>No</v>
      </c>
    </row>
    <row r="677" spans="1:5" hidden="1" x14ac:dyDescent="0.25">
      <c r="A677" s="1">
        <v>45421</v>
      </c>
      <c r="B677">
        <v>5214.08</v>
      </c>
      <c r="C677" s="3">
        <f t="shared" si="21"/>
        <v>5.0909175024625416E-3</v>
      </c>
      <c r="D677">
        <f>MONTH(tbl_SP500_Clean[[#This Row],[observation_date]])</f>
        <v>5</v>
      </c>
      <c r="E677" t="str">
        <f t="shared" si="22"/>
        <v>No</v>
      </c>
    </row>
    <row r="678" spans="1:5" hidden="1" x14ac:dyDescent="0.25">
      <c r="A678" s="1">
        <v>45422</v>
      </c>
      <c r="B678">
        <v>5222.68</v>
      </c>
      <c r="C678" s="3">
        <f t="shared" si="21"/>
        <v>1.6493801399288779E-3</v>
      </c>
      <c r="D678">
        <f>MONTH(tbl_SP500_Clean[[#This Row],[observation_date]])</f>
        <v>5</v>
      </c>
      <c r="E678" t="str">
        <f t="shared" si="22"/>
        <v>No</v>
      </c>
    </row>
    <row r="679" spans="1:5" hidden="1" x14ac:dyDescent="0.25">
      <c r="A679" s="1">
        <v>45425</v>
      </c>
      <c r="B679">
        <v>5221.42</v>
      </c>
      <c r="C679" s="3">
        <f t="shared" si="21"/>
        <v>-2.412554473948659E-4</v>
      </c>
      <c r="D679">
        <f>MONTH(tbl_SP500_Clean[[#This Row],[observation_date]])</f>
        <v>5</v>
      </c>
      <c r="E679" t="str">
        <f t="shared" si="22"/>
        <v>No</v>
      </c>
    </row>
    <row r="680" spans="1:5" hidden="1" x14ac:dyDescent="0.25">
      <c r="A680" s="1">
        <v>45426</v>
      </c>
      <c r="B680">
        <v>5246.68</v>
      </c>
      <c r="C680" s="3">
        <f t="shared" si="21"/>
        <v>4.8377644395586296E-3</v>
      </c>
      <c r="D680">
        <f>MONTH(tbl_SP500_Clean[[#This Row],[observation_date]])</f>
        <v>5</v>
      </c>
      <c r="E680" t="str">
        <f t="shared" si="22"/>
        <v>No</v>
      </c>
    </row>
    <row r="681" spans="1:5" hidden="1" x14ac:dyDescent="0.25">
      <c r="A681" s="1">
        <v>45427</v>
      </c>
      <c r="B681">
        <v>5308.15</v>
      </c>
      <c r="C681" s="3">
        <f t="shared" si="21"/>
        <v>1.17159803914093E-2</v>
      </c>
      <c r="D681">
        <f>MONTH(tbl_SP500_Clean[[#This Row],[observation_date]])</f>
        <v>5</v>
      </c>
      <c r="E681" t="str">
        <f t="shared" si="22"/>
        <v>No</v>
      </c>
    </row>
    <row r="682" spans="1:5" hidden="1" x14ac:dyDescent="0.25">
      <c r="A682" s="1">
        <v>45428</v>
      </c>
      <c r="B682">
        <v>5297.1</v>
      </c>
      <c r="C682" s="3">
        <f t="shared" si="21"/>
        <v>-2.0817045486655941E-3</v>
      </c>
      <c r="D682">
        <f>MONTH(tbl_SP500_Clean[[#This Row],[observation_date]])</f>
        <v>5</v>
      </c>
      <c r="E682" t="str">
        <f t="shared" si="22"/>
        <v>No</v>
      </c>
    </row>
    <row r="683" spans="1:5" hidden="1" x14ac:dyDescent="0.25">
      <c r="A683" s="1">
        <v>45429</v>
      </c>
      <c r="B683">
        <v>5303.27</v>
      </c>
      <c r="C683" s="3">
        <f t="shared" si="21"/>
        <v>1.1647882803798441E-3</v>
      </c>
      <c r="D683">
        <f>MONTH(tbl_SP500_Clean[[#This Row],[observation_date]])</f>
        <v>5</v>
      </c>
      <c r="E683" t="str">
        <f t="shared" si="22"/>
        <v>No</v>
      </c>
    </row>
    <row r="684" spans="1:5" hidden="1" x14ac:dyDescent="0.25">
      <c r="A684" s="1">
        <v>45432</v>
      </c>
      <c r="B684">
        <v>5308.13</v>
      </c>
      <c r="C684" s="3">
        <f t="shared" si="21"/>
        <v>9.1641572086649786E-4</v>
      </c>
      <c r="D684">
        <f>MONTH(tbl_SP500_Clean[[#This Row],[observation_date]])</f>
        <v>5</v>
      </c>
      <c r="E684" t="str">
        <f t="shared" si="22"/>
        <v>No</v>
      </c>
    </row>
    <row r="685" spans="1:5" hidden="1" x14ac:dyDescent="0.25">
      <c r="A685" s="1">
        <v>45433</v>
      </c>
      <c r="B685">
        <v>5321.41</v>
      </c>
      <c r="C685" s="3">
        <f t="shared" si="21"/>
        <v>2.5018226757821953E-3</v>
      </c>
      <c r="D685">
        <f>MONTH(tbl_SP500_Clean[[#This Row],[observation_date]])</f>
        <v>5</v>
      </c>
      <c r="E685" t="str">
        <f t="shared" si="22"/>
        <v>No</v>
      </c>
    </row>
    <row r="686" spans="1:5" hidden="1" x14ac:dyDescent="0.25">
      <c r="A686" s="1">
        <v>45434</v>
      </c>
      <c r="B686">
        <v>5307.01</v>
      </c>
      <c r="C686" s="3">
        <f t="shared" si="21"/>
        <v>-2.7060497123881895E-3</v>
      </c>
      <c r="D686">
        <f>MONTH(tbl_SP500_Clean[[#This Row],[observation_date]])</f>
        <v>5</v>
      </c>
      <c r="E686" t="str">
        <f t="shared" si="22"/>
        <v>No</v>
      </c>
    </row>
    <row r="687" spans="1:5" hidden="1" x14ac:dyDescent="0.25">
      <c r="A687" s="1">
        <v>45435</v>
      </c>
      <c r="B687">
        <v>5267.84</v>
      </c>
      <c r="C687" s="3">
        <f t="shared" si="21"/>
        <v>-7.3808038801509834E-3</v>
      </c>
      <c r="D687">
        <f>MONTH(tbl_SP500_Clean[[#This Row],[observation_date]])</f>
        <v>5</v>
      </c>
      <c r="E687" t="str">
        <f t="shared" si="22"/>
        <v>No</v>
      </c>
    </row>
    <row r="688" spans="1:5" hidden="1" x14ac:dyDescent="0.25">
      <c r="A688" s="1">
        <v>45436</v>
      </c>
      <c r="B688">
        <v>5304.72</v>
      </c>
      <c r="C688" s="3">
        <f t="shared" si="21"/>
        <v>7.0009719353663191E-3</v>
      </c>
      <c r="D688">
        <f>MONTH(tbl_SP500_Clean[[#This Row],[observation_date]])</f>
        <v>5</v>
      </c>
      <c r="E688" t="str">
        <f t="shared" si="22"/>
        <v>No</v>
      </c>
    </row>
    <row r="689" spans="1:5" hidden="1" x14ac:dyDescent="0.25">
      <c r="A689" s="1">
        <v>45439</v>
      </c>
      <c r="C689">
        <f t="shared" si="21"/>
        <v>-1</v>
      </c>
      <c r="D689">
        <f>MONTH(tbl_SP500_Clean[[#This Row],[observation_date]])</f>
        <v>5</v>
      </c>
      <c r="E689" t="str">
        <f t="shared" si="22"/>
        <v>No</v>
      </c>
    </row>
    <row r="690" spans="1:5" hidden="1" x14ac:dyDescent="0.25">
      <c r="A690" s="1">
        <v>45440</v>
      </c>
      <c r="B690">
        <v>5306.04</v>
      </c>
      <c r="C690" s="3" t="e">
        <f t="shared" si="21"/>
        <v>#DIV/0!</v>
      </c>
      <c r="D690">
        <f>MONTH(tbl_SP500_Clean[[#This Row],[observation_date]])</f>
        <v>5</v>
      </c>
      <c r="E690" t="str">
        <f t="shared" si="22"/>
        <v>No</v>
      </c>
    </row>
    <row r="691" spans="1:5" hidden="1" x14ac:dyDescent="0.25">
      <c r="A691" s="1">
        <v>45441</v>
      </c>
      <c r="B691">
        <v>5266.95</v>
      </c>
      <c r="C691" s="3">
        <f t="shared" si="21"/>
        <v>-7.3670760114888214E-3</v>
      </c>
      <c r="D691">
        <f>MONTH(tbl_SP500_Clean[[#This Row],[observation_date]])</f>
        <v>5</v>
      </c>
      <c r="E691" t="str">
        <f t="shared" si="22"/>
        <v>No</v>
      </c>
    </row>
    <row r="692" spans="1:5" hidden="1" x14ac:dyDescent="0.25">
      <c r="A692" s="1">
        <v>45442</v>
      </c>
      <c r="B692">
        <v>5235.4799999999996</v>
      </c>
      <c r="C692" s="3">
        <f t="shared" si="21"/>
        <v>-5.9749950160909553E-3</v>
      </c>
      <c r="D692">
        <f>MONTH(tbl_SP500_Clean[[#This Row],[observation_date]])</f>
        <v>5</v>
      </c>
      <c r="E692" t="str">
        <f t="shared" si="22"/>
        <v>No</v>
      </c>
    </row>
    <row r="693" spans="1:5" x14ac:dyDescent="0.25">
      <c r="A693" s="1">
        <v>45443</v>
      </c>
      <c r="B693">
        <v>5277.51</v>
      </c>
      <c r="C693" s="3">
        <f t="shared" si="21"/>
        <v>8.0279172110294863E-3</v>
      </c>
      <c r="D693">
        <f>MONTH(tbl_SP500_Clean[[#This Row],[observation_date]])</f>
        <v>5</v>
      </c>
      <c r="E693" t="str">
        <f t="shared" si="22"/>
        <v>Yes</v>
      </c>
    </row>
    <row r="694" spans="1:5" hidden="1" x14ac:dyDescent="0.25">
      <c r="A694" s="1">
        <v>45446</v>
      </c>
      <c r="B694">
        <v>5283.4</v>
      </c>
      <c r="C694" s="3">
        <f t="shared" si="21"/>
        <v>1.1160566251886624E-3</v>
      </c>
      <c r="D694">
        <f>MONTH(tbl_SP500_Clean[[#This Row],[observation_date]])</f>
        <v>6</v>
      </c>
      <c r="E694" t="str">
        <f t="shared" si="22"/>
        <v>No</v>
      </c>
    </row>
    <row r="695" spans="1:5" hidden="1" x14ac:dyDescent="0.25">
      <c r="A695" s="1">
        <v>45447</v>
      </c>
      <c r="B695">
        <v>5291.34</v>
      </c>
      <c r="C695" s="3">
        <f t="shared" si="21"/>
        <v>1.502820153689009E-3</v>
      </c>
      <c r="D695">
        <f>MONTH(tbl_SP500_Clean[[#This Row],[observation_date]])</f>
        <v>6</v>
      </c>
      <c r="E695" t="str">
        <f t="shared" si="22"/>
        <v>No</v>
      </c>
    </row>
    <row r="696" spans="1:5" hidden="1" x14ac:dyDescent="0.25">
      <c r="A696" s="1">
        <v>45448</v>
      </c>
      <c r="B696">
        <v>5354.03</v>
      </c>
      <c r="C696" s="3">
        <f t="shared" si="21"/>
        <v>1.1847660516995619E-2</v>
      </c>
      <c r="D696">
        <f>MONTH(tbl_SP500_Clean[[#This Row],[observation_date]])</f>
        <v>6</v>
      </c>
      <c r="E696" t="str">
        <f t="shared" si="22"/>
        <v>No</v>
      </c>
    </row>
    <row r="697" spans="1:5" hidden="1" x14ac:dyDescent="0.25">
      <c r="A697" s="1">
        <v>45449</v>
      </c>
      <c r="B697">
        <v>5352.96</v>
      </c>
      <c r="C697" s="3">
        <f t="shared" si="21"/>
        <v>-1.9984945919236706E-4</v>
      </c>
      <c r="D697">
        <f>MONTH(tbl_SP500_Clean[[#This Row],[observation_date]])</f>
        <v>6</v>
      </c>
      <c r="E697" t="str">
        <f t="shared" si="22"/>
        <v>No</v>
      </c>
    </row>
    <row r="698" spans="1:5" hidden="1" x14ac:dyDescent="0.25">
      <c r="A698" s="1">
        <v>45450</v>
      </c>
      <c r="B698">
        <v>5346.99</v>
      </c>
      <c r="C698" s="3">
        <f t="shared" si="21"/>
        <v>-1.1152708034433761E-3</v>
      </c>
      <c r="D698">
        <f>MONTH(tbl_SP500_Clean[[#This Row],[observation_date]])</f>
        <v>6</v>
      </c>
      <c r="E698" t="str">
        <f t="shared" si="22"/>
        <v>No</v>
      </c>
    </row>
    <row r="699" spans="1:5" hidden="1" x14ac:dyDescent="0.25">
      <c r="A699" s="1">
        <v>45453</v>
      </c>
      <c r="B699">
        <v>5360.79</v>
      </c>
      <c r="C699" s="3">
        <f t="shared" si="21"/>
        <v>2.5808913052016522E-3</v>
      </c>
      <c r="D699">
        <f>MONTH(tbl_SP500_Clean[[#This Row],[observation_date]])</f>
        <v>6</v>
      </c>
      <c r="E699" t="str">
        <f t="shared" si="22"/>
        <v>No</v>
      </c>
    </row>
    <row r="700" spans="1:5" hidden="1" x14ac:dyDescent="0.25">
      <c r="A700" s="1">
        <v>45454</v>
      </c>
      <c r="B700">
        <v>5375.32</v>
      </c>
      <c r="C700" s="3">
        <f t="shared" si="21"/>
        <v>2.7104214117694863E-3</v>
      </c>
      <c r="D700">
        <f>MONTH(tbl_SP500_Clean[[#This Row],[observation_date]])</f>
        <v>6</v>
      </c>
      <c r="E700" t="str">
        <f t="shared" si="22"/>
        <v>No</v>
      </c>
    </row>
    <row r="701" spans="1:5" hidden="1" x14ac:dyDescent="0.25">
      <c r="A701" s="1">
        <v>45455</v>
      </c>
      <c r="B701">
        <v>5421.03</v>
      </c>
      <c r="C701" s="3">
        <f t="shared" si="21"/>
        <v>8.5036797809246775E-3</v>
      </c>
      <c r="D701">
        <f>MONTH(tbl_SP500_Clean[[#This Row],[observation_date]])</f>
        <v>6</v>
      </c>
      <c r="E701" t="str">
        <f t="shared" si="22"/>
        <v>No</v>
      </c>
    </row>
    <row r="702" spans="1:5" hidden="1" x14ac:dyDescent="0.25">
      <c r="A702" s="1">
        <v>45456</v>
      </c>
      <c r="B702">
        <v>5433.74</v>
      </c>
      <c r="C702" s="3">
        <f t="shared" si="21"/>
        <v>2.3445728948188883E-3</v>
      </c>
      <c r="D702">
        <f>MONTH(tbl_SP500_Clean[[#This Row],[observation_date]])</f>
        <v>6</v>
      </c>
      <c r="E702" t="str">
        <f t="shared" si="22"/>
        <v>No</v>
      </c>
    </row>
    <row r="703" spans="1:5" hidden="1" x14ac:dyDescent="0.25">
      <c r="A703" s="1">
        <v>45457</v>
      </c>
      <c r="B703">
        <v>5431.6</v>
      </c>
      <c r="C703" s="3">
        <f t="shared" si="21"/>
        <v>-3.9383555341245956E-4</v>
      </c>
      <c r="D703">
        <f>MONTH(tbl_SP500_Clean[[#This Row],[observation_date]])</f>
        <v>6</v>
      </c>
      <c r="E703" t="str">
        <f t="shared" si="22"/>
        <v>No</v>
      </c>
    </row>
    <row r="704" spans="1:5" hidden="1" x14ac:dyDescent="0.25">
      <c r="A704" s="1">
        <v>45460</v>
      </c>
      <c r="B704">
        <v>5473.23</v>
      </c>
      <c r="C704" s="3">
        <f t="shared" si="21"/>
        <v>7.6644082774871489E-3</v>
      </c>
      <c r="D704">
        <f>MONTH(tbl_SP500_Clean[[#This Row],[observation_date]])</f>
        <v>6</v>
      </c>
      <c r="E704" t="str">
        <f t="shared" si="22"/>
        <v>No</v>
      </c>
    </row>
    <row r="705" spans="1:5" hidden="1" x14ac:dyDescent="0.25">
      <c r="A705" s="1">
        <v>45461</v>
      </c>
      <c r="B705">
        <v>5487.03</v>
      </c>
      <c r="C705" s="3">
        <f t="shared" si="21"/>
        <v>2.5213630708010048E-3</v>
      </c>
      <c r="D705">
        <f>MONTH(tbl_SP500_Clean[[#This Row],[observation_date]])</f>
        <v>6</v>
      </c>
      <c r="E705" t="str">
        <f t="shared" si="22"/>
        <v>No</v>
      </c>
    </row>
    <row r="706" spans="1:5" hidden="1" x14ac:dyDescent="0.25">
      <c r="A706" s="1">
        <v>45462</v>
      </c>
      <c r="C706">
        <f t="shared" ref="C706:C769" si="23">(B706-B705)/B705</f>
        <v>-1</v>
      </c>
      <c r="D706">
        <f>MONTH(tbl_SP500_Clean[[#This Row],[observation_date]])</f>
        <v>6</v>
      </c>
      <c r="E706" t="str">
        <f t="shared" ref="E706:E769" si="24">IF(D706&lt;&gt;D707,"Yes","No")</f>
        <v>No</v>
      </c>
    </row>
    <row r="707" spans="1:5" hidden="1" x14ac:dyDescent="0.25">
      <c r="A707" s="1">
        <v>45463</v>
      </c>
      <c r="B707">
        <v>5473.17</v>
      </c>
      <c r="C707" s="3" t="e">
        <f t="shared" si="23"/>
        <v>#DIV/0!</v>
      </c>
      <c r="D707">
        <f>MONTH(tbl_SP500_Clean[[#This Row],[observation_date]])</f>
        <v>6</v>
      </c>
      <c r="E707" t="str">
        <f t="shared" si="24"/>
        <v>No</v>
      </c>
    </row>
    <row r="708" spans="1:5" hidden="1" x14ac:dyDescent="0.25">
      <c r="A708" s="1">
        <v>45464</v>
      </c>
      <c r="B708">
        <v>5464.62</v>
      </c>
      <c r="C708" s="3">
        <f t="shared" si="23"/>
        <v>-1.5621659842468226E-3</v>
      </c>
      <c r="D708">
        <f>MONTH(tbl_SP500_Clean[[#This Row],[observation_date]])</f>
        <v>6</v>
      </c>
      <c r="E708" t="str">
        <f t="shared" si="24"/>
        <v>No</v>
      </c>
    </row>
    <row r="709" spans="1:5" hidden="1" x14ac:dyDescent="0.25">
      <c r="A709" s="1">
        <v>45467</v>
      </c>
      <c r="B709">
        <v>5447.87</v>
      </c>
      <c r="C709" s="3">
        <f t="shared" si="23"/>
        <v>-3.0651719607218799E-3</v>
      </c>
      <c r="D709">
        <f>MONTH(tbl_SP500_Clean[[#This Row],[observation_date]])</f>
        <v>6</v>
      </c>
      <c r="E709" t="str">
        <f t="shared" si="24"/>
        <v>No</v>
      </c>
    </row>
    <row r="710" spans="1:5" hidden="1" x14ac:dyDescent="0.25">
      <c r="A710" s="1">
        <v>45468</v>
      </c>
      <c r="B710">
        <v>5469.3</v>
      </c>
      <c r="C710" s="3">
        <f t="shared" si="23"/>
        <v>3.9336474622192327E-3</v>
      </c>
      <c r="D710">
        <f>MONTH(tbl_SP500_Clean[[#This Row],[observation_date]])</f>
        <v>6</v>
      </c>
      <c r="E710" t="str">
        <f t="shared" si="24"/>
        <v>No</v>
      </c>
    </row>
    <row r="711" spans="1:5" hidden="1" x14ac:dyDescent="0.25">
      <c r="A711" s="1">
        <v>45469</v>
      </c>
      <c r="B711">
        <v>5477.9</v>
      </c>
      <c r="C711" s="3">
        <f t="shared" si="23"/>
        <v>1.5724132887205773E-3</v>
      </c>
      <c r="D711">
        <f>MONTH(tbl_SP500_Clean[[#This Row],[observation_date]])</f>
        <v>6</v>
      </c>
      <c r="E711" t="str">
        <f t="shared" si="24"/>
        <v>No</v>
      </c>
    </row>
    <row r="712" spans="1:5" hidden="1" x14ac:dyDescent="0.25">
      <c r="A712" s="1">
        <v>45470</v>
      </c>
      <c r="B712">
        <v>5482.87</v>
      </c>
      <c r="C712" s="3">
        <f t="shared" si="23"/>
        <v>9.0728198762304077E-4</v>
      </c>
      <c r="D712">
        <f>MONTH(tbl_SP500_Clean[[#This Row],[observation_date]])</f>
        <v>6</v>
      </c>
      <c r="E712" t="str">
        <f t="shared" si="24"/>
        <v>No</v>
      </c>
    </row>
    <row r="713" spans="1:5" x14ac:dyDescent="0.25">
      <c r="A713" s="1">
        <v>45471</v>
      </c>
      <c r="B713">
        <v>5460.48</v>
      </c>
      <c r="C713" s="3">
        <f t="shared" si="23"/>
        <v>-4.0836277351095915E-3</v>
      </c>
      <c r="D713">
        <f>MONTH(tbl_SP500_Clean[[#This Row],[observation_date]])</f>
        <v>6</v>
      </c>
      <c r="E713" t="str">
        <f t="shared" si="24"/>
        <v>Yes</v>
      </c>
    </row>
    <row r="714" spans="1:5" hidden="1" x14ac:dyDescent="0.25">
      <c r="A714" s="1">
        <v>45474</v>
      </c>
      <c r="B714">
        <v>5475.09</v>
      </c>
      <c r="C714" s="3">
        <f t="shared" si="23"/>
        <v>2.6755889592124838E-3</v>
      </c>
      <c r="D714">
        <f>MONTH(tbl_SP500_Clean[[#This Row],[observation_date]])</f>
        <v>7</v>
      </c>
      <c r="E714" t="str">
        <f t="shared" si="24"/>
        <v>No</v>
      </c>
    </row>
    <row r="715" spans="1:5" hidden="1" x14ac:dyDescent="0.25">
      <c r="A715" s="1">
        <v>45475</v>
      </c>
      <c r="B715">
        <v>5509.01</v>
      </c>
      <c r="C715" s="3">
        <f t="shared" si="23"/>
        <v>6.1953319488812185E-3</v>
      </c>
      <c r="D715">
        <f>MONTH(tbl_SP500_Clean[[#This Row],[observation_date]])</f>
        <v>7</v>
      </c>
      <c r="E715" t="str">
        <f t="shared" si="24"/>
        <v>No</v>
      </c>
    </row>
    <row r="716" spans="1:5" hidden="1" x14ac:dyDescent="0.25">
      <c r="A716" s="1">
        <v>45476</v>
      </c>
      <c r="B716">
        <v>5537.02</v>
      </c>
      <c r="C716" s="3">
        <f t="shared" si="23"/>
        <v>5.0843981041966196E-3</v>
      </c>
      <c r="D716">
        <f>MONTH(tbl_SP500_Clean[[#This Row],[observation_date]])</f>
        <v>7</v>
      </c>
      <c r="E716" t="str">
        <f t="shared" si="24"/>
        <v>No</v>
      </c>
    </row>
    <row r="717" spans="1:5" hidden="1" x14ac:dyDescent="0.25">
      <c r="A717" s="1">
        <v>45477</v>
      </c>
      <c r="C717">
        <f t="shared" si="23"/>
        <v>-1</v>
      </c>
      <c r="D717">
        <f>MONTH(tbl_SP500_Clean[[#This Row],[observation_date]])</f>
        <v>7</v>
      </c>
      <c r="E717" t="str">
        <f t="shared" si="24"/>
        <v>No</v>
      </c>
    </row>
    <row r="718" spans="1:5" hidden="1" x14ac:dyDescent="0.25">
      <c r="A718" s="1">
        <v>45478</v>
      </c>
      <c r="B718">
        <v>5567.19</v>
      </c>
      <c r="C718" s="3" t="e">
        <f t="shared" si="23"/>
        <v>#DIV/0!</v>
      </c>
      <c r="D718">
        <f>MONTH(tbl_SP500_Clean[[#This Row],[observation_date]])</f>
        <v>7</v>
      </c>
      <c r="E718" t="str">
        <f t="shared" si="24"/>
        <v>No</v>
      </c>
    </row>
    <row r="719" spans="1:5" hidden="1" x14ac:dyDescent="0.25">
      <c r="A719" s="1">
        <v>45481</v>
      </c>
      <c r="B719">
        <v>5572.85</v>
      </c>
      <c r="C719" s="3">
        <f t="shared" si="23"/>
        <v>1.0166708878268506E-3</v>
      </c>
      <c r="D719">
        <f>MONTH(tbl_SP500_Clean[[#This Row],[observation_date]])</f>
        <v>7</v>
      </c>
      <c r="E719" t="str">
        <f t="shared" si="24"/>
        <v>No</v>
      </c>
    </row>
    <row r="720" spans="1:5" hidden="1" x14ac:dyDescent="0.25">
      <c r="A720" s="1">
        <v>45482</v>
      </c>
      <c r="B720">
        <v>5576.98</v>
      </c>
      <c r="C720" s="3">
        <f t="shared" si="23"/>
        <v>7.4109297756070941E-4</v>
      </c>
      <c r="D720">
        <f>MONTH(tbl_SP500_Clean[[#This Row],[observation_date]])</f>
        <v>7</v>
      </c>
      <c r="E720" t="str">
        <f t="shared" si="24"/>
        <v>No</v>
      </c>
    </row>
    <row r="721" spans="1:5" hidden="1" x14ac:dyDescent="0.25">
      <c r="A721" s="1">
        <v>45483</v>
      </c>
      <c r="B721">
        <v>5633.91</v>
      </c>
      <c r="C721" s="3">
        <f t="shared" si="23"/>
        <v>1.0208033738690168E-2</v>
      </c>
      <c r="D721">
        <f>MONTH(tbl_SP500_Clean[[#This Row],[observation_date]])</f>
        <v>7</v>
      </c>
      <c r="E721" t="str">
        <f t="shared" si="24"/>
        <v>No</v>
      </c>
    </row>
    <row r="722" spans="1:5" hidden="1" x14ac:dyDescent="0.25">
      <c r="A722" s="1">
        <v>45484</v>
      </c>
      <c r="B722">
        <v>5584.54</v>
      </c>
      <c r="C722" s="3">
        <f t="shared" si="23"/>
        <v>-8.7630082837673821E-3</v>
      </c>
      <c r="D722">
        <f>MONTH(tbl_SP500_Clean[[#This Row],[observation_date]])</f>
        <v>7</v>
      </c>
      <c r="E722" t="str">
        <f t="shared" si="24"/>
        <v>No</v>
      </c>
    </row>
    <row r="723" spans="1:5" hidden="1" x14ac:dyDescent="0.25">
      <c r="A723" s="1">
        <v>45485</v>
      </c>
      <c r="B723">
        <v>5615.35</v>
      </c>
      <c r="C723" s="3">
        <f t="shared" si="23"/>
        <v>5.5170166208855882E-3</v>
      </c>
      <c r="D723">
        <f>MONTH(tbl_SP500_Clean[[#This Row],[observation_date]])</f>
        <v>7</v>
      </c>
      <c r="E723" t="str">
        <f t="shared" si="24"/>
        <v>No</v>
      </c>
    </row>
    <row r="724" spans="1:5" hidden="1" x14ac:dyDescent="0.25">
      <c r="A724" s="1">
        <v>45488</v>
      </c>
      <c r="B724">
        <v>5631.22</v>
      </c>
      <c r="C724" s="3">
        <f t="shared" si="23"/>
        <v>2.8261818052302866E-3</v>
      </c>
      <c r="D724">
        <f>MONTH(tbl_SP500_Clean[[#This Row],[observation_date]])</f>
        <v>7</v>
      </c>
      <c r="E724" t="str">
        <f t="shared" si="24"/>
        <v>No</v>
      </c>
    </row>
    <row r="725" spans="1:5" hidden="1" x14ac:dyDescent="0.25">
      <c r="A725" s="1">
        <v>45489</v>
      </c>
      <c r="B725">
        <v>5667.2</v>
      </c>
      <c r="C725" s="3">
        <f t="shared" si="23"/>
        <v>6.389379210899159E-3</v>
      </c>
      <c r="D725">
        <f>MONTH(tbl_SP500_Clean[[#This Row],[observation_date]])</f>
        <v>7</v>
      </c>
      <c r="E725" t="str">
        <f t="shared" si="24"/>
        <v>No</v>
      </c>
    </row>
    <row r="726" spans="1:5" hidden="1" x14ac:dyDescent="0.25">
      <c r="A726" s="1">
        <v>45490</v>
      </c>
      <c r="B726">
        <v>5588.27</v>
      </c>
      <c r="C726" s="3">
        <f t="shared" si="23"/>
        <v>-1.3927512704686508E-2</v>
      </c>
      <c r="D726">
        <f>MONTH(tbl_SP500_Clean[[#This Row],[observation_date]])</f>
        <v>7</v>
      </c>
      <c r="E726" t="str">
        <f t="shared" si="24"/>
        <v>No</v>
      </c>
    </row>
    <row r="727" spans="1:5" hidden="1" x14ac:dyDescent="0.25">
      <c r="A727" s="1">
        <v>45491</v>
      </c>
      <c r="B727">
        <v>5544.59</v>
      </c>
      <c r="C727" s="3">
        <f t="shared" si="23"/>
        <v>-7.8163725088444703E-3</v>
      </c>
      <c r="D727">
        <f>MONTH(tbl_SP500_Clean[[#This Row],[observation_date]])</f>
        <v>7</v>
      </c>
      <c r="E727" t="str">
        <f t="shared" si="24"/>
        <v>No</v>
      </c>
    </row>
    <row r="728" spans="1:5" hidden="1" x14ac:dyDescent="0.25">
      <c r="A728" s="1">
        <v>45492</v>
      </c>
      <c r="B728">
        <v>5505</v>
      </c>
      <c r="C728" s="3">
        <f t="shared" si="23"/>
        <v>-7.1402935113326947E-3</v>
      </c>
      <c r="D728">
        <f>MONTH(tbl_SP500_Clean[[#This Row],[observation_date]])</f>
        <v>7</v>
      </c>
      <c r="E728" t="str">
        <f t="shared" si="24"/>
        <v>No</v>
      </c>
    </row>
    <row r="729" spans="1:5" hidden="1" x14ac:dyDescent="0.25">
      <c r="A729" s="1">
        <v>45495</v>
      </c>
      <c r="B729">
        <v>5564.41</v>
      </c>
      <c r="C729" s="3">
        <f t="shared" si="23"/>
        <v>1.0792007266121681E-2</v>
      </c>
      <c r="D729">
        <f>MONTH(tbl_SP500_Clean[[#This Row],[observation_date]])</f>
        <v>7</v>
      </c>
      <c r="E729" t="str">
        <f t="shared" si="24"/>
        <v>No</v>
      </c>
    </row>
    <row r="730" spans="1:5" hidden="1" x14ac:dyDescent="0.25">
      <c r="A730" s="1">
        <v>45496</v>
      </c>
      <c r="B730">
        <v>5555.74</v>
      </c>
      <c r="C730" s="3">
        <f t="shared" si="23"/>
        <v>-1.5581166736455569E-3</v>
      </c>
      <c r="D730">
        <f>MONTH(tbl_SP500_Clean[[#This Row],[observation_date]])</f>
        <v>7</v>
      </c>
      <c r="E730" t="str">
        <f t="shared" si="24"/>
        <v>No</v>
      </c>
    </row>
    <row r="731" spans="1:5" hidden="1" x14ac:dyDescent="0.25">
      <c r="A731" s="1">
        <v>45497</v>
      </c>
      <c r="B731">
        <v>5427.13</v>
      </c>
      <c r="C731" s="3">
        <f t="shared" si="23"/>
        <v>-2.314903145215573E-2</v>
      </c>
      <c r="D731">
        <f>MONTH(tbl_SP500_Clean[[#This Row],[observation_date]])</f>
        <v>7</v>
      </c>
      <c r="E731" t="str">
        <f t="shared" si="24"/>
        <v>No</v>
      </c>
    </row>
    <row r="732" spans="1:5" hidden="1" x14ac:dyDescent="0.25">
      <c r="A732" s="1">
        <v>45498</v>
      </c>
      <c r="B732">
        <v>5399.22</v>
      </c>
      <c r="C732" s="3">
        <f t="shared" si="23"/>
        <v>-5.1426813066943033E-3</v>
      </c>
      <c r="D732">
        <f>MONTH(tbl_SP500_Clean[[#This Row],[observation_date]])</f>
        <v>7</v>
      </c>
      <c r="E732" t="str">
        <f t="shared" si="24"/>
        <v>No</v>
      </c>
    </row>
    <row r="733" spans="1:5" hidden="1" x14ac:dyDescent="0.25">
      <c r="A733" s="1">
        <v>45499</v>
      </c>
      <c r="B733">
        <v>5459.1</v>
      </c>
      <c r="C733" s="3">
        <f t="shared" si="23"/>
        <v>1.1090490848678162E-2</v>
      </c>
      <c r="D733">
        <f>MONTH(tbl_SP500_Clean[[#This Row],[observation_date]])</f>
        <v>7</v>
      </c>
      <c r="E733" t="str">
        <f t="shared" si="24"/>
        <v>No</v>
      </c>
    </row>
    <row r="734" spans="1:5" hidden="1" x14ac:dyDescent="0.25">
      <c r="A734" s="1">
        <v>45502</v>
      </c>
      <c r="B734">
        <v>5463.54</v>
      </c>
      <c r="C734" s="3">
        <f t="shared" si="23"/>
        <v>8.1332087706757511E-4</v>
      </c>
      <c r="D734">
        <f>MONTH(tbl_SP500_Clean[[#This Row],[observation_date]])</f>
        <v>7</v>
      </c>
      <c r="E734" t="str">
        <f t="shared" si="24"/>
        <v>No</v>
      </c>
    </row>
    <row r="735" spans="1:5" hidden="1" x14ac:dyDescent="0.25">
      <c r="A735" s="1">
        <v>45503</v>
      </c>
      <c r="B735">
        <v>5436.44</v>
      </c>
      <c r="C735" s="3">
        <f t="shared" si="23"/>
        <v>-4.960154039322557E-3</v>
      </c>
      <c r="D735">
        <f>MONTH(tbl_SP500_Clean[[#This Row],[observation_date]])</f>
        <v>7</v>
      </c>
      <c r="E735" t="str">
        <f t="shared" si="24"/>
        <v>No</v>
      </c>
    </row>
    <row r="736" spans="1:5" x14ac:dyDescent="0.25">
      <c r="A736" s="1">
        <v>45504</v>
      </c>
      <c r="B736">
        <v>5522.3</v>
      </c>
      <c r="C736" s="3">
        <f t="shared" si="23"/>
        <v>1.5793423637527608E-2</v>
      </c>
      <c r="D736">
        <f>MONTH(tbl_SP500_Clean[[#This Row],[observation_date]])</f>
        <v>7</v>
      </c>
      <c r="E736" t="str">
        <f t="shared" si="24"/>
        <v>Yes</v>
      </c>
    </row>
    <row r="737" spans="1:5" hidden="1" x14ac:dyDescent="0.25">
      <c r="A737" s="1">
        <v>45505</v>
      </c>
      <c r="B737">
        <v>5446.68</v>
      </c>
      <c r="C737" s="3">
        <f t="shared" si="23"/>
        <v>-1.3693569708273706E-2</v>
      </c>
      <c r="D737">
        <f>MONTH(tbl_SP500_Clean[[#This Row],[observation_date]])</f>
        <v>8</v>
      </c>
      <c r="E737" t="str">
        <f t="shared" si="24"/>
        <v>No</v>
      </c>
    </row>
    <row r="738" spans="1:5" hidden="1" x14ac:dyDescent="0.25">
      <c r="A738" s="1">
        <v>45506</v>
      </c>
      <c r="B738">
        <v>5346.56</v>
      </c>
      <c r="C738" s="3">
        <f t="shared" si="23"/>
        <v>-1.8381839946536218E-2</v>
      </c>
      <c r="D738">
        <f>MONTH(tbl_SP500_Clean[[#This Row],[observation_date]])</f>
        <v>8</v>
      </c>
      <c r="E738" t="str">
        <f t="shared" si="24"/>
        <v>No</v>
      </c>
    </row>
    <row r="739" spans="1:5" hidden="1" x14ac:dyDescent="0.25">
      <c r="A739" s="1">
        <v>45509</v>
      </c>
      <c r="B739">
        <v>5186.33</v>
      </c>
      <c r="C739" s="3">
        <f t="shared" si="23"/>
        <v>-2.9968802370122182E-2</v>
      </c>
      <c r="D739">
        <f>MONTH(tbl_SP500_Clean[[#This Row],[observation_date]])</f>
        <v>8</v>
      </c>
      <c r="E739" t="str">
        <f t="shared" si="24"/>
        <v>No</v>
      </c>
    </row>
    <row r="740" spans="1:5" hidden="1" x14ac:dyDescent="0.25">
      <c r="A740" s="1">
        <v>45510</v>
      </c>
      <c r="B740">
        <v>5240.03</v>
      </c>
      <c r="C740" s="3">
        <f t="shared" si="23"/>
        <v>1.0354142524675409E-2</v>
      </c>
      <c r="D740">
        <f>MONTH(tbl_SP500_Clean[[#This Row],[observation_date]])</f>
        <v>8</v>
      </c>
      <c r="E740" t="str">
        <f t="shared" si="24"/>
        <v>No</v>
      </c>
    </row>
    <row r="741" spans="1:5" hidden="1" x14ac:dyDescent="0.25">
      <c r="A741" s="1">
        <v>45511</v>
      </c>
      <c r="B741">
        <v>5199.5</v>
      </c>
      <c r="C741" s="3">
        <f t="shared" si="23"/>
        <v>-7.7346885418594453E-3</v>
      </c>
      <c r="D741">
        <f>MONTH(tbl_SP500_Clean[[#This Row],[observation_date]])</f>
        <v>8</v>
      </c>
      <c r="E741" t="str">
        <f t="shared" si="24"/>
        <v>No</v>
      </c>
    </row>
    <row r="742" spans="1:5" hidden="1" x14ac:dyDescent="0.25">
      <c r="A742" s="1">
        <v>45512</v>
      </c>
      <c r="B742">
        <v>5319.31</v>
      </c>
      <c r="C742" s="3">
        <f t="shared" si="23"/>
        <v>2.3042600250024119E-2</v>
      </c>
      <c r="D742">
        <f>MONTH(tbl_SP500_Clean[[#This Row],[observation_date]])</f>
        <v>8</v>
      </c>
      <c r="E742" t="str">
        <f t="shared" si="24"/>
        <v>No</v>
      </c>
    </row>
    <row r="743" spans="1:5" hidden="1" x14ac:dyDescent="0.25">
      <c r="A743" s="1">
        <v>45513</v>
      </c>
      <c r="B743">
        <v>5344.16</v>
      </c>
      <c r="C743" s="3">
        <f t="shared" si="23"/>
        <v>4.6716585421792403E-3</v>
      </c>
      <c r="D743">
        <f>MONTH(tbl_SP500_Clean[[#This Row],[observation_date]])</f>
        <v>8</v>
      </c>
      <c r="E743" t="str">
        <f t="shared" si="24"/>
        <v>No</v>
      </c>
    </row>
    <row r="744" spans="1:5" hidden="1" x14ac:dyDescent="0.25">
      <c r="A744" s="1">
        <v>45516</v>
      </c>
      <c r="B744">
        <v>5344.39</v>
      </c>
      <c r="C744" s="3">
        <f t="shared" si="23"/>
        <v>4.3037633603872814E-5</v>
      </c>
      <c r="D744">
        <f>MONTH(tbl_SP500_Clean[[#This Row],[observation_date]])</f>
        <v>8</v>
      </c>
      <c r="E744" t="str">
        <f t="shared" si="24"/>
        <v>No</v>
      </c>
    </row>
    <row r="745" spans="1:5" hidden="1" x14ac:dyDescent="0.25">
      <c r="A745" s="1">
        <v>45517</v>
      </c>
      <c r="B745">
        <v>5434.43</v>
      </c>
      <c r="C745" s="3">
        <f t="shared" si="23"/>
        <v>1.6847572875482508E-2</v>
      </c>
      <c r="D745">
        <f>MONTH(tbl_SP500_Clean[[#This Row],[observation_date]])</f>
        <v>8</v>
      </c>
      <c r="E745" t="str">
        <f t="shared" si="24"/>
        <v>No</v>
      </c>
    </row>
    <row r="746" spans="1:5" hidden="1" x14ac:dyDescent="0.25">
      <c r="A746" s="1">
        <v>45518</v>
      </c>
      <c r="B746">
        <v>5455.21</v>
      </c>
      <c r="C746" s="3">
        <f t="shared" si="23"/>
        <v>3.8237680860733776E-3</v>
      </c>
      <c r="D746">
        <f>MONTH(tbl_SP500_Clean[[#This Row],[observation_date]])</f>
        <v>8</v>
      </c>
      <c r="E746" t="str">
        <f t="shared" si="24"/>
        <v>No</v>
      </c>
    </row>
    <row r="747" spans="1:5" hidden="1" x14ac:dyDescent="0.25">
      <c r="A747" s="1">
        <v>45519</v>
      </c>
      <c r="B747">
        <v>5543.22</v>
      </c>
      <c r="C747" s="3">
        <f t="shared" si="23"/>
        <v>1.6133201104998749E-2</v>
      </c>
      <c r="D747">
        <f>MONTH(tbl_SP500_Clean[[#This Row],[observation_date]])</f>
        <v>8</v>
      </c>
      <c r="E747" t="str">
        <f t="shared" si="24"/>
        <v>No</v>
      </c>
    </row>
    <row r="748" spans="1:5" hidden="1" x14ac:dyDescent="0.25">
      <c r="A748" s="1">
        <v>45520</v>
      </c>
      <c r="B748">
        <v>5554.25</v>
      </c>
      <c r="C748" s="3">
        <f t="shared" si="23"/>
        <v>1.9898181923141685E-3</v>
      </c>
      <c r="D748">
        <f>MONTH(tbl_SP500_Clean[[#This Row],[observation_date]])</f>
        <v>8</v>
      </c>
      <c r="E748" t="str">
        <f t="shared" si="24"/>
        <v>No</v>
      </c>
    </row>
    <row r="749" spans="1:5" hidden="1" x14ac:dyDescent="0.25">
      <c r="A749" s="1">
        <v>45523</v>
      </c>
      <c r="B749">
        <v>5608.25</v>
      </c>
      <c r="C749" s="3">
        <f t="shared" si="23"/>
        <v>9.722284736913174E-3</v>
      </c>
      <c r="D749">
        <f>MONTH(tbl_SP500_Clean[[#This Row],[observation_date]])</f>
        <v>8</v>
      </c>
      <c r="E749" t="str">
        <f t="shared" si="24"/>
        <v>No</v>
      </c>
    </row>
    <row r="750" spans="1:5" hidden="1" x14ac:dyDescent="0.25">
      <c r="A750" s="1">
        <v>45524</v>
      </c>
      <c r="B750">
        <v>5597.12</v>
      </c>
      <c r="C750" s="3">
        <f t="shared" si="23"/>
        <v>-1.9845762938528258E-3</v>
      </c>
      <c r="D750">
        <f>MONTH(tbl_SP500_Clean[[#This Row],[observation_date]])</f>
        <v>8</v>
      </c>
      <c r="E750" t="str">
        <f t="shared" si="24"/>
        <v>No</v>
      </c>
    </row>
    <row r="751" spans="1:5" hidden="1" x14ac:dyDescent="0.25">
      <c r="A751" s="1">
        <v>45525</v>
      </c>
      <c r="B751">
        <v>5620.85</v>
      </c>
      <c r="C751" s="3">
        <f t="shared" si="23"/>
        <v>4.2396804070665758E-3</v>
      </c>
      <c r="D751">
        <f>MONTH(tbl_SP500_Clean[[#This Row],[observation_date]])</f>
        <v>8</v>
      </c>
      <c r="E751" t="str">
        <f t="shared" si="24"/>
        <v>No</v>
      </c>
    </row>
    <row r="752" spans="1:5" hidden="1" x14ac:dyDescent="0.25">
      <c r="A752" s="1">
        <v>45526</v>
      </c>
      <c r="B752">
        <v>5570.64</v>
      </c>
      <c r="C752" s="3">
        <f t="shared" si="23"/>
        <v>-8.9328126528905837E-3</v>
      </c>
      <c r="D752">
        <f>MONTH(tbl_SP500_Clean[[#This Row],[observation_date]])</f>
        <v>8</v>
      </c>
      <c r="E752" t="str">
        <f t="shared" si="24"/>
        <v>No</v>
      </c>
    </row>
    <row r="753" spans="1:5" hidden="1" x14ac:dyDescent="0.25">
      <c r="A753" s="1">
        <v>45527</v>
      </c>
      <c r="B753">
        <v>5634.61</v>
      </c>
      <c r="C753" s="3">
        <f t="shared" si="23"/>
        <v>1.1483420217425528E-2</v>
      </c>
      <c r="D753">
        <f>MONTH(tbl_SP500_Clean[[#This Row],[observation_date]])</f>
        <v>8</v>
      </c>
      <c r="E753" t="str">
        <f t="shared" si="24"/>
        <v>No</v>
      </c>
    </row>
    <row r="754" spans="1:5" hidden="1" x14ac:dyDescent="0.25">
      <c r="A754" s="1">
        <v>45530</v>
      </c>
      <c r="B754">
        <v>5616.84</v>
      </c>
      <c r="C754" s="3">
        <f t="shared" si="23"/>
        <v>-3.1537231503155549E-3</v>
      </c>
      <c r="D754">
        <f>MONTH(tbl_SP500_Clean[[#This Row],[observation_date]])</f>
        <v>8</v>
      </c>
      <c r="E754" t="str">
        <f t="shared" si="24"/>
        <v>No</v>
      </c>
    </row>
    <row r="755" spans="1:5" hidden="1" x14ac:dyDescent="0.25">
      <c r="A755" s="1">
        <v>45531</v>
      </c>
      <c r="B755">
        <v>5625.8</v>
      </c>
      <c r="C755" s="3">
        <f t="shared" si="23"/>
        <v>1.5952029967027789E-3</v>
      </c>
      <c r="D755">
        <f>MONTH(tbl_SP500_Clean[[#This Row],[observation_date]])</f>
        <v>8</v>
      </c>
      <c r="E755" t="str">
        <f t="shared" si="24"/>
        <v>No</v>
      </c>
    </row>
    <row r="756" spans="1:5" hidden="1" x14ac:dyDescent="0.25">
      <c r="A756" s="1">
        <v>45532</v>
      </c>
      <c r="B756">
        <v>5592.18</v>
      </c>
      <c r="C756" s="3">
        <f t="shared" si="23"/>
        <v>-5.9760389633474152E-3</v>
      </c>
      <c r="D756">
        <f>MONTH(tbl_SP500_Clean[[#This Row],[observation_date]])</f>
        <v>8</v>
      </c>
      <c r="E756" t="str">
        <f t="shared" si="24"/>
        <v>No</v>
      </c>
    </row>
    <row r="757" spans="1:5" hidden="1" x14ac:dyDescent="0.25">
      <c r="A757" s="1">
        <v>45533</v>
      </c>
      <c r="B757">
        <v>5591.96</v>
      </c>
      <c r="C757" s="3">
        <f t="shared" si="23"/>
        <v>-3.9340650694408023E-5</v>
      </c>
      <c r="D757">
        <f>MONTH(tbl_SP500_Clean[[#This Row],[observation_date]])</f>
        <v>8</v>
      </c>
      <c r="E757" t="str">
        <f t="shared" si="24"/>
        <v>No</v>
      </c>
    </row>
    <row r="758" spans="1:5" x14ac:dyDescent="0.25">
      <c r="A758" s="1">
        <v>45534</v>
      </c>
      <c r="B758">
        <v>5648.4</v>
      </c>
      <c r="C758" s="3">
        <f t="shared" si="23"/>
        <v>1.0093062182132849E-2</v>
      </c>
      <c r="D758">
        <f>MONTH(tbl_SP500_Clean[[#This Row],[observation_date]])</f>
        <v>8</v>
      </c>
      <c r="E758" t="str">
        <f t="shared" si="24"/>
        <v>Yes</v>
      </c>
    </row>
    <row r="759" spans="1:5" hidden="1" x14ac:dyDescent="0.25">
      <c r="A759" s="1">
        <v>45537</v>
      </c>
      <c r="C759">
        <f t="shared" si="23"/>
        <v>-1</v>
      </c>
      <c r="D759">
        <f>MONTH(tbl_SP500_Clean[[#This Row],[observation_date]])</f>
        <v>9</v>
      </c>
      <c r="E759" t="str">
        <f t="shared" si="24"/>
        <v>No</v>
      </c>
    </row>
    <row r="760" spans="1:5" hidden="1" x14ac:dyDescent="0.25">
      <c r="A760" s="1">
        <v>45538</v>
      </c>
      <c r="B760">
        <v>5528.93</v>
      </c>
      <c r="C760" s="3" t="e">
        <f t="shared" si="23"/>
        <v>#DIV/0!</v>
      </c>
      <c r="D760">
        <f>MONTH(tbl_SP500_Clean[[#This Row],[observation_date]])</f>
        <v>9</v>
      </c>
      <c r="E760" t="str">
        <f t="shared" si="24"/>
        <v>No</v>
      </c>
    </row>
    <row r="761" spans="1:5" hidden="1" x14ac:dyDescent="0.25">
      <c r="A761" s="1">
        <v>45539</v>
      </c>
      <c r="B761">
        <v>5520.07</v>
      </c>
      <c r="C761" s="3">
        <f t="shared" si="23"/>
        <v>-1.6024800458679313E-3</v>
      </c>
      <c r="D761">
        <f>MONTH(tbl_SP500_Clean[[#This Row],[observation_date]])</f>
        <v>9</v>
      </c>
      <c r="E761" t="str">
        <f t="shared" si="24"/>
        <v>No</v>
      </c>
    </row>
    <row r="762" spans="1:5" hidden="1" x14ac:dyDescent="0.25">
      <c r="A762" s="1">
        <v>45540</v>
      </c>
      <c r="B762">
        <v>5503.41</v>
      </c>
      <c r="C762" s="3">
        <f t="shared" si="23"/>
        <v>-3.018077669304892E-3</v>
      </c>
      <c r="D762">
        <f>MONTH(tbl_SP500_Clean[[#This Row],[observation_date]])</f>
        <v>9</v>
      </c>
      <c r="E762" t="str">
        <f t="shared" si="24"/>
        <v>No</v>
      </c>
    </row>
    <row r="763" spans="1:5" hidden="1" x14ac:dyDescent="0.25">
      <c r="A763" s="1">
        <v>45541</v>
      </c>
      <c r="B763">
        <v>5408.42</v>
      </c>
      <c r="C763" s="3">
        <f t="shared" si="23"/>
        <v>-1.7260207762096552E-2</v>
      </c>
      <c r="D763">
        <f>MONTH(tbl_SP500_Clean[[#This Row],[observation_date]])</f>
        <v>9</v>
      </c>
      <c r="E763" t="str">
        <f t="shared" si="24"/>
        <v>No</v>
      </c>
    </row>
    <row r="764" spans="1:5" hidden="1" x14ac:dyDescent="0.25">
      <c r="A764" s="1">
        <v>45544</v>
      </c>
      <c r="B764">
        <v>5471.05</v>
      </c>
      <c r="C764" s="3">
        <f t="shared" si="23"/>
        <v>1.1580091782812746E-2</v>
      </c>
      <c r="D764">
        <f>MONTH(tbl_SP500_Clean[[#This Row],[observation_date]])</f>
        <v>9</v>
      </c>
      <c r="E764" t="str">
        <f t="shared" si="24"/>
        <v>No</v>
      </c>
    </row>
    <row r="765" spans="1:5" hidden="1" x14ac:dyDescent="0.25">
      <c r="A765" s="1">
        <v>45545</v>
      </c>
      <c r="B765">
        <v>5495.52</v>
      </c>
      <c r="C765" s="3">
        <f t="shared" si="23"/>
        <v>4.4726332239698515E-3</v>
      </c>
      <c r="D765">
        <f>MONTH(tbl_SP500_Clean[[#This Row],[observation_date]])</f>
        <v>9</v>
      </c>
      <c r="E765" t="str">
        <f t="shared" si="24"/>
        <v>No</v>
      </c>
    </row>
    <row r="766" spans="1:5" hidden="1" x14ac:dyDescent="0.25">
      <c r="A766" s="1">
        <v>45546</v>
      </c>
      <c r="B766">
        <v>5554.13</v>
      </c>
      <c r="C766" s="3">
        <f t="shared" si="23"/>
        <v>1.06650508050193E-2</v>
      </c>
      <c r="D766">
        <f>MONTH(tbl_SP500_Clean[[#This Row],[observation_date]])</f>
        <v>9</v>
      </c>
      <c r="E766" t="str">
        <f t="shared" si="24"/>
        <v>No</v>
      </c>
    </row>
    <row r="767" spans="1:5" hidden="1" x14ac:dyDescent="0.25">
      <c r="A767" s="1">
        <v>45547</v>
      </c>
      <c r="B767">
        <v>5595.76</v>
      </c>
      <c r="C767" s="3">
        <f t="shared" si="23"/>
        <v>7.4953232999587886E-3</v>
      </c>
      <c r="D767">
        <f>MONTH(tbl_SP500_Clean[[#This Row],[observation_date]])</f>
        <v>9</v>
      </c>
      <c r="E767" t="str">
        <f t="shared" si="24"/>
        <v>No</v>
      </c>
    </row>
    <row r="768" spans="1:5" hidden="1" x14ac:dyDescent="0.25">
      <c r="A768" s="1">
        <v>45548</v>
      </c>
      <c r="B768">
        <v>5626.02</v>
      </c>
      <c r="C768" s="3">
        <f t="shared" si="23"/>
        <v>5.4076658041088644E-3</v>
      </c>
      <c r="D768">
        <f>MONTH(tbl_SP500_Clean[[#This Row],[observation_date]])</f>
        <v>9</v>
      </c>
      <c r="E768" t="str">
        <f t="shared" si="24"/>
        <v>No</v>
      </c>
    </row>
    <row r="769" spans="1:5" hidden="1" x14ac:dyDescent="0.25">
      <c r="A769" s="1">
        <v>45551</v>
      </c>
      <c r="B769">
        <v>5633.09</v>
      </c>
      <c r="C769" s="3">
        <f t="shared" si="23"/>
        <v>1.2566610143582334E-3</v>
      </c>
      <c r="D769">
        <f>MONTH(tbl_SP500_Clean[[#This Row],[observation_date]])</f>
        <v>9</v>
      </c>
      <c r="E769" t="str">
        <f t="shared" si="24"/>
        <v>No</v>
      </c>
    </row>
    <row r="770" spans="1:5" hidden="1" x14ac:dyDescent="0.25">
      <c r="A770" s="1">
        <v>45552</v>
      </c>
      <c r="B770">
        <v>5634.58</v>
      </c>
      <c r="C770" s="3">
        <f t="shared" ref="C770:C833" si="25">(B770-B769)/B769</f>
        <v>2.6450846693374004E-4</v>
      </c>
      <c r="D770">
        <f>MONTH(tbl_SP500_Clean[[#This Row],[observation_date]])</f>
        <v>9</v>
      </c>
      <c r="E770" t="str">
        <f t="shared" ref="E770:E833" si="26">IF(D770&lt;&gt;D771,"Yes","No")</f>
        <v>No</v>
      </c>
    </row>
    <row r="771" spans="1:5" hidden="1" x14ac:dyDescent="0.25">
      <c r="A771" s="1">
        <v>45553</v>
      </c>
      <c r="B771">
        <v>5618.26</v>
      </c>
      <c r="C771" s="3">
        <f t="shared" si="25"/>
        <v>-2.8964004415590354E-3</v>
      </c>
      <c r="D771">
        <f>MONTH(tbl_SP500_Clean[[#This Row],[observation_date]])</f>
        <v>9</v>
      </c>
      <c r="E771" t="str">
        <f t="shared" si="26"/>
        <v>No</v>
      </c>
    </row>
    <row r="772" spans="1:5" hidden="1" x14ac:dyDescent="0.25">
      <c r="A772" s="1">
        <v>45554</v>
      </c>
      <c r="B772">
        <v>5713.64</v>
      </c>
      <c r="C772" s="3">
        <f t="shared" si="25"/>
        <v>1.6976786407179464E-2</v>
      </c>
      <c r="D772">
        <f>MONTH(tbl_SP500_Clean[[#This Row],[observation_date]])</f>
        <v>9</v>
      </c>
      <c r="E772" t="str">
        <f t="shared" si="26"/>
        <v>No</v>
      </c>
    </row>
    <row r="773" spans="1:5" hidden="1" x14ac:dyDescent="0.25">
      <c r="A773" s="1">
        <v>45555</v>
      </c>
      <c r="B773">
        <v>5702.55</v>
      </c>
      <c r="C773" s="3">
        <f t="shared" si="25"/>
        <v>-1.9409693295342628E-3</v>
      </c>
      <c r="D773">
        <f>MONTH(tbl_SP500_Clean[[#This Row],[observation_date]])</f>
        <v>9</v>
      </c>
      <c r="E773" t="str">
        <f t="shared" si="26"/>
        <v>No</v>
      </c>
    </row>
    <row r="774" spans="1:5" hidden="1" x14ac:dyDescent="0.25">
      <c r="A774" s="1">
        <v>45558</v>
      </c>
      <c r="B774">
        <v>5718.57</v>
      </c>
      <c r="C774" s="3">
        <f t="shared" si="25"/>
        <v>2.8092695373121718E-3</v>
      </c>
      <c r="D774">
        <f>MONTH(tbl_SP500_Clean[[#This Row],[observation_date]])</f>
        <v>9</v>
      </c>
      <c r="E774" t="str">
        <f t="shared" si="26"/>
        <v>No</v>
      </c>
    </row>
    <row r="775" spans="1:5" hidden="1" x14ac:dyDescent="0.25">
      <c r="A775" s="1">
        <v>45559</v>
      </c>
      <c r="B775">
        <v>5732.93</v>
      </c>
      <c r="C775" s="3">
        <f t="shared" si="25"/>
        <v>2.5111172898120652E-3</v>
      </c>
      <c r="D775">
        <f>MONTH(tbl_SP500_Clean[[#This Row],[observation_date]])</f>
        <v>9</v>
      </c>
      <c r="E775" t="str">
        <f t="shared" si="26"/>
        <v>No</v>
      </c>
    </row>
    <row r="776" spans="1:5" hidden="1" x14ac:dyDescent="0.25">
      <c r="A776" s="1">
        <v>45560</v>
      </c>
      <c r="B776">
        <v>5722.26</v>
      </c>
      <c r="C776" s="3">
        <f t="shared" si="25"/>
        <v>-1.8611774432968956E-3</v>
      </c>
      <c r="D776">
        <f>MONTH(tbl_SP500_Clean[[#This Row],[observation_date]])</f>
        <v>9</v>
      </c>
      <c r="E776" t="str">
        <f t="shared" si="26"/>
        <v>No</v>
      </c>
    </row>
    <row r="777" spans="1:5" hidden="1" x14ac:dyDescent="0.25">
      <c r="A777" s="1">
        <v>45561</v>
      </c>
      <c r="B777">
        <v>5745.37</v>
      </c>
      <c r="C777" s="3">
        <f t="shared" si="25"/>
        <v>4.03861411400385E-3</v>
      </c>
      <c r="D777">
        <f>MONTH(tbl_SP500_Clean[[#This Row],[observation_date]])</f>
        <v>9</v>
      </c>
      <c r="E777" t="str">
        <f t="shared" si="26"/>
        <v>No</v>
      </c>
    </row>
    <row r="778" spans="1:5" hidden="1" x14ac:dyDescent="0.25">
      <c r="A778" s="1">
        <v>45562</v>
      </c>
      <c r="B778">
        <v>5738.17</v>
      </c>
      <c r="C778" s="3">
        <f t="shared" si="25"/>
        <v>-1.2531829977877522E-3</v>
      </c>
      <c r="D778">
        <f>MONTH(tbl_SP500_Clean[[#This Row],[observation_date]])</f>
        <v>9</v>
      </c>
      <c r="E778" t="str">
        <f t="shared" si="26"/>
        <v>No</v>
      </c>
    </row>
    <row r="779" spans="1:5" x14ac:dyDescent="0.25">
      <c r="A779" s="1">
        <v>45565</v>
      </c>
      <c r="B779">
        <v>5762.48</v>
      </c>
      <c r="C779" s="3">
        <f t="shared" si="25"/>
        <v>4.2365423122701995E-3</v>
      </c>
      <c r="D779">
        <f>MONTH(tbl_SP500_Clean[[#This Row],[observation_date]])</f>
        <v>9</v>
      </c>
      <c r="E779" t="str">
        <f t="shared" si="26"/>
        <v>Yes</v>
      </c>
    </row>
    <row r="780" spans="1:5" hidden="1" x14ac:dyDescent="0.25">
      <c r="A780" s="1">
        <v>45566</v>
      </c>
      <c r="B780">
        <v>5708.75</v>
      </c>
      <c r="C780" s="3">
        <f t="shared" si="25"/>
        <v>-9.3241104524440111E-3</v>
      </c>
      <c r="D780">
        <f>MONTH(tbl_SP500_Clean[[#This Row],[observation_date]])</f>
        <v>10</v>
      </c>
      <c r="E780" t="str">
        <f t="shared" si="26"/>
        <v>No</v>
      </c>
    </row>
    <row r="781" spans="1:5" hidden="1" x14ac:dyDescent="0.25">
      <c r="A781" s="1">
        <v>45567</v>
      </c>
      <c r="B781">
        <v>5709.54</v>
      </c>
      <c r="C781" s="3">
        <f t="shared" si="25"/>
        <v>1.3838405955769015E-4</v>
      </c>
      <c r="D781">
        <f>MONTH(tbl_SP500_Clean[[#This Row],[observation_date]])</f>
        <v>10</v>
      </c>
      <c r="E781" t="str">
        <f t="shared" si="26"/>
        <v>No</v>
      </c>
    </row>
    <row r="782" spans="1:5" hidden="1" x14ac:dyDescent="0.25">
      <c r="A782" s="1">
        <v>45568</v>
      </c>
      <c r="B782">
        <v>5699.94</v>
      </c>
      <c r="C782" s="3">
        <f t="shared" si="25"/>
        <v>-1.6813963997100228E-3</v>
      </c>
      <c r="D782">
        <f>MONTH(tbl_SP500_Clean[[#This Row],[observation_date]])</f>
        <v>10</v>
      </c>
      <c r="E782" t="str">
        <f t="shared" si="26"/>
        <v>No</v>
      </c>
    </row>
    <row r="783" spans="1:5" hidden="1" x14ac:dyDescent="0.25">
      <c r="A783" s="1">
        <v>45569</v>
      </c>
      <c r="B783">
        <v>5751.07</v>
      </c>
      <c r="C783" s="3">
        <f t="shared" si="25"/>
        <v>8.9702698624897995E-3</v>
      </c>
      <c r="D783">
        <f>MONTH(tbl_SP500_Clean[[#This Row],[observation_date]])</f>
        <v>10</v>
      </c>
      <c r="E783" t="str">
        <f t="shared" si="26"/>
        <v>No</v>
      </c>
    </row>
    <row r="784" spans="1:5" hidden="1" x14ac:dyDescent="0.25">
      <c r="A784" s="1">
        <v>45572</v>
      </c>
      <c r="B784">
        <v>5695.94</v>
      </c>
      <c r="C784" s="3">
        <f t="shared" si="25"/>
        <v>-9.586042249529237E-3</v>
      </c>
      <c r="D784">
        <f>MONTH(tbl_SP500_Clean[[#This Row],[observation_date]])</f>
        <v>10</v>
      </c>
      <c r="E784" t="str">
        <f t="shared" si="26"/>
        <v>No</v>
      </c>
    </row>
    <row r="785" spans="1:5" hidden="1" x14ac:dyDescent="0.25">
      <c r="A785" s="1">
        <v>45573</v>
      </c>
      <c r="B785">
        <v>5751.13</v>
      </c>
      <c r="C785" s="3">
        <f t="shared" si="25"/>
        <v>9.6893576828408507E-3</v>
      </c>
      <c r="D785">
        <f>MONTH(tbl_SP500_Clean[[#This Row],[observation_date]])</f>
        <v>10</v>
      </c>
      <c r="E785" t="str">
        <f t="shared" si="26"/>
        <v>No</v>
      </c>
    </row>
    <row r="786" spans="1:5" hidden="1" x14ac:dyDescent="0.25">
      <c r="A786" s="1">
        <v>45574</v>
      </c>
      <c r="B786">
        <v>5792.04</v>
      </c>
      <c r="C786" s="3">
        <f t="shared" si="25"/>
        <v>7.1133846739683945E-3</v>
      </c>
      <c r="D786">
        <f>MONTH(tbl_SP500_Clean[[#This Row],[observation_date]])</f>
        <v>10</v>
      </c>
      <c r="E786" t="str">
        <f t="shared" si="26"/>
        <v>No</v>
      </c>
    </row>
    <row r="787" spans="1:5" hidden="1" x14ac:dyDescent="0.25">
      <c r="A787" s="1">
        <v>45575</v>
      </c>
      <c r="B787">
        <v>5780.05</v>
      </c>
      <c r="C787" s="3">
        <f t="shared" si="25"/>
        <v>-2.0700823889337402E-3</v>
      </c>
      <c r="D787">
        <f>MONTH(tbl_SP500_Clean[[#This Row],[observation_date]])</f>
        <v>10</v>
      </c>
      <c r="E787" t="str">
        <f t="shared" si="26"/>
        <v>No</v>
      </c>
    </row>
    <row r="788" spans="1:5" hidden="1" x14ac:dyDescent="0.25">
      <c r="A788" s="1">
        <v>45576</v>
      </c>
      <c r="B788">
        <v>5815.03</v>
      </c>
      <c r="C788" s="3">
        <f t="shared" si="25"/>
        <v>6.0518507625365809E-3</v>
      </c>
      <c r="D788">
        <f>MONTH(tbl_SP500_Clean[[#This Row],[observation_date]])</f>
        <v>10</v>
      </c>
      <c r="E788" t="str">
        <f t="shared" si="26"/>
        <v>No</v>
      </c>
    </row>
    <row r="789" spans="1:5" hidden="1" x14ac:dyDescent="0.25">
      <c r="A789" s="1">
        <v>45579</v>
      </c>
      <c r="B789">
        <v>5859.85</v>
      </c>
      <c r="C789" s="3">
        <f t="shared" si="25"/>
        <v>7.7076128584032452E-3</v>
      </c>
      <c r="D789">
        <f>MONTH(tbl_SP500_Clean[[#This Row],[observation_date]])</f>
        <v>10</v>
      </c>
      <c r="E789" t="str">
        <f t="shared" si="26"/>
        <v>No</v>
      </c>
    </row>
    <row r="790" spans="1:5" hidden="1" x14ac:dyDescent="0.25">
      <c r="A790" s="1">
        <v>45580</v>
      </c>
      <c r="B790">
        <v>5815.26</v>
      </c>
      <c r="C790" s="3">
        <f t="shared" si="25"/>
        <v>-7.6094097971791327E-3</v>
      </c>
      <c r="D790">
        <f>MONTH(tbl_SP500_Clean[[#This Row],[observation_date]])</f>
        <v>10</v>
      </c>
      <c r="E790" t="str">
        <f t="shared" si="26"/>
        <v>No</v>
      </c>
    </row>
    <row r="791" spans="1:5" hidden="1" x14ac:dyDescent="0.25">
      <c r="A791" s="1">
        <v>45581</v>
      </c>
      <c r="B791">
        <v>5842.47</v>
      </c>
      <c r="C791" s="3">
        <f t="shared" si="25"/>
        <v>4.6790685197222537E-3</v>
      </c>
      <c r="D791">
        <f>MONTH(tbl_SP500_Clean[[#This Row],[observation_date]])</f>
        <v>10</v>
      </c>
      <c r="E791" t="str">
        <f t="shared" si="26"/>
        <v>No</v>
      </c>
    </row>
    <row r="792" spans="1:5" hidden="1" x14ac:dyDescent="0.25">
      <c r="A792" s="1">
        <v>45582</v>
      </c>
      <c r="B792">
        <v>5841.47</v>
      </c>
      <c r="C792" s="3">
        <f t="shared" si="25"/>
        <v>-1.7116048520574346E-4</v>
      </c>
      <c r="D792">
        <f>MONTH(tbl_SP500_Clean[[#This Row],[observation_date]])</f>
        <v>10</v>
      </c>
      <c r="E792" t="str">
        <f t="shared" si="26"/>
        <v>No</v>
      </c>
    </row>
    <row r="793" spans="1:5" hidden="1" x14ac:dyDescent="0.25">
      <c r="A793" s="1">
        <v>45583</v>
      </c>
      <c r="B793">
        <v>5864.67</v>
      </c>
      <c r="C793" s="3">
        <f t="shared" si="25"/>
        <v>3.9716030382762934E-3</v>
      </c>
      <c r="D793">
        <f>MONTH(tbl_SP500_Clean[[#This Row],[observation_date]])</f>
        <v>10</v>
      </c>
      <c r="E793" t="str">
        <f t="shared" si="26"/>
        <v>No</v>
      </c>
    </row>
    <row r="794" spans="1:5" hidden="1" x14ac:dyDescent="0.25">
      <c r="A794" s="1">
        <v>45586</v>
      </c>
      <c r="B794">
        <v>5853.98</v>
      </c>
      <c r="C794" s="3">
        <f t="shared" si="25"/>
        <v>-1.8227794573267566E-3</v>
      </c>
      <c r="D794">
        <f>MONTH(tbl_SP500_Clean[[#This Row],[observation_date]])</f>
        <v>10</v>
      </c>
      <c r="E794" t="str">
        <f t="shared" si="26"/>
        <v>No</v>
      </c>
    </row>
    <row r="795" spans="1:5" hidden="1" x14ac:dyDescent="0.25">
      <c r="A795" s="1">
        <v>45587</v>
      </c>
      <c r="B795">
        <v>5851.2</v>
      </c>
      <c r="C795" s="3">
        <f t="shared" si="25"/>
        <v>-4.748905872585396E-4</v>
      </c>
      <c r="D795">
        <f>MONTH(tbl_SP500_Clean[[#This Row],[observation_date]])</f>
        <v>10</v>
      </c>
      <c r="E795" t="str">
        <f t="shared" si="26"/>
        <v>No</v>
      </c>
    </row>
    <row r="796" spans="1:5" hidden="1" x14ac:dyDescent="0.25">
      <c r="A796" s="1">
        <v>45588</v>
      </c>
      <c r="B796">
        <v>5797.42</v>
      </c>
      <c r="C796" s="3">
        <f t="shared" si="25"/>
        <v>-9.1912770030078868E-3</v>
      </c>
      <c r="D796">
        <f>MONTH(tbl_SP500_Clean[[#This Row],[observation_date]])</f>
        <v>10</v>
      </c>
      <c r="E796" t="str">
        <f t="shared" si="26"/>
        <v>No</v>
      </c>
    </row>
    <row r="797" spans="1:5" hidden="1" x14ac:dyDescent="0.25">
      <c r="A797" s="1">
        <v>45589</v>
      </c>
      <c r="B797">
        <v>5809.86</v>
      </c>
      <c r="C797" s="3">
        <f t="shared" si="25"/>
        <v>2.1457820892741251E-3</v>
      </c>
      <c r="D797">
        <f>MONTH(tbl_SP500_Clean[[#This Row],[observation_date]])</f>
        <v>10</v>
      </c>
      <c r="E797" t="str">
        <f t="shared" si="26"/>
        <v>No</v>
      </c>
    </row>
    <row r="798" spans="1:5" hidden="1" x14ac:dyDescent="0.25">
      <c r="A798" s="1">
        <v>45590</v>
      </c>
      <c r="B798">
        <v>5808.12</v>
      </c>
      <c r="C798" s="3">
        <f t="shared" si="25"/>
        <v>-2.9949086552856383E-4</v>
      </c>
      <c r="D798">
        <f>MONTH(tbl_SP500_Clean[[#This Row],[observation_date]])</f>
        <v>10</v>
      </c>
      <c r="E798" t="str">
        <f t="shared" si="26"/>
        <v>No</v>
      </c>
    </row>
    <row r="799" spans="1:5" hidden="1" x14ac:dyDescent="0.25">
      <c r="A799" s="1">
        <v>45593</v>
      </c>
      <c r="B799">
        <v>5823.52</v>
      </c>
      <c r="C799" s="3">
        <f t="shared" si="25"/>
        <v>2.6514603692762108E-3</v>
      </c>
      <c r="D799">
        <f>MONTH(tbl_SP500_Clean[[#This Row],[observation_date]])</f>
        <v>10</v>
      </c>
      <c r="E799" t="str">
        <f t="shared" si="26"/>
        <v>No</v>
      </c>
    </row>
    <row r="800" spans="1:5" hidden="1" x14ac:dyDescent="0.25">
      <c r="A800" s="1">
        <v>45594</v>
      </c>
      <c r="B800">
        <v>5832.92</v>
      </c>
      <c r="C800" s="3">
        <f t="shared" si="25"/>
        <v>1.6141440228589642E-3</v>
      </c>
      <c r="D800">
        <f>MONTH(tbl_SP500_Clean[[#This Row],[observation_date]])</f>
        <v>10</v>
      </c>
      <c r="E800" t="str">
        <f t="shared" si="26"/>
        <v>No</v>
      </c>
    </row>
    <row r="801" spans="1:5" hidden="1" x14ac:dyDescent="0.25">
      <c r="A801" s="1">
        <v>45595</v>
      </c>
      <c r="B801">
        <v>5813.67</v>
      </c>
      <c r="C801" s="3">
        <f t="shared" si="25"/>
        <v>-3.3002338451410271E-3</v>
      </c>
      <c r="D801">
        <f>MONTH(tbl_SP500_Clean[[#This Row],[observation_date]])</f>
        <v>10</v>
      </c>
      <c r="E801" t="str">
        <f t="shared" si="26"/>
        <v>No</v>
      </c>
    </row>
    <row r="802" spans="1:5" x14ac:dyDescent="0.25">
      <c r="A802" s="1">
        <v>45596</v>
      </c>
      <c r="B802">
        <v>5705.45</v>
      </c>
      <c r="C802" s="3">
        <f t="shared" si="25"/>
        <v>-1.8614747655095704E-2</v>
      </c>
      <c r="D802">
        <f>MONTH(tbl_SP500_Clean[[#This Row],[observation_date]])</f>
        <v>10</v>
      </c>
      <c r="E802" t="str">
        <f t="shared" si="26"/>
        <v>Yes</v>
      </c>
    </row>
    <row r="803" spans="1:5" hidden="1" x14ac:dyDescent="0.25">
      <c r="A803" s="1">
        <v>45597</v>
      </c>
      <c r="B803">
        <v>5728.8</v>
      </c>
      <c r="C803" s="3">
        <f t="shared" si="25"/>
        <v>4.0925781489628979E-3</v>
      </c>
      <c r="D803">
        <f>MONTH(tbl_SP500_Clean[[#This Row],[observation_date]])</f>
        <v>11</v>
      </c>
      <c r="E803" t="str">
        <f t="shared" si="26"/>
        <v>No</v>
      </c>
    </row>
    <row r="804" spans="1:5" hidden="1" x14ac:dyDescent="0.25">
      <c r="A804" s="1">
        <v>45600</v>
      </c>
      <c r="B804">
        <v>5712.69</v>
      </c>
      <c r="C804" s="3">
        <f t="shared" si="25"/>
        <v>-2.81210724759122E-3</v>
      </c>
      <c r="D804">
        <f>MONTH(tbl_SP500_Clean[[#This Row],[observation_date]])</f>
        <v>11</v>
      </c>
      <c r="E804" t="str">
        <f t="shared" si="26"/>
        <v>No</v>
      </c>
    </row>
    <row r="805" spans="1:5" hidden="1" x14ac:dyDescent="0.25">
      <c r="A805" s="1">
        <v>45601</v>
      </c>
      <c r="B805">
        <v>5782.76</v>
      </c>
      <c r="C805" s="3">
        <f t="shared" si="25"/>
        <v>1.2265675189796861E-2</v>
      </c>
      <c r="D805">
        <f>MONTH(tbl_SP500_Clean[[#This Row],[observation_date]])</f>
        <v>11</v>
      </c>
      <c r="E805" t="str">
        <f t="shared" si="26"/>
        <v>No</v>
      </c>
    </row>
    <row r="806" spans="1:5" hidden="1" x14ac:dyDescent="0.25">
      <c r="A806" s="1">
        <v>45602</v>
      </c>
      <c r="B806">
        <v>5929.04</v>
      </c>
      <c r="C806" s="3">
        <f t="shared" si="25"/>
        <v>2.5295879476236217E-2</v>
      </c>
      <c r="D806">
        <f>MONTH(tbl_SP500_Clean[[#This Row],[observation_date]])</f>
        <v>11</v>
      </c>
      <c r="E806" t="str">
        <f t="shared" si="26"/>
        <v>No</v>
      </c>
    </row>
    <row r="807" spans="1:5" hidden="1" x14ac:dyDescent="0.25">
      <c r="A807" s="1">
        <v>45603</v>
      </c>
      <c r="B807">
        <v>5973.1</v>
      </c>
      <c r="C807" s="3">
        <f t="shared" si="25"/>
        <v>7.4312198939457987E-3</v>
      </c>
      <c r="D807">
        <f>MONTH(tbl_SP500_Clean[[#This Row],[observation_date]])</f>
        <v>11</v>
      </c>
      <c r="E807" t="str">
        <f t="shared" si="26"/>
        <v>No</v>
      </c>
    </row>
    <row r="808" spans="1:5" hidden="1" x14ac:dyDescent="0.25">
      <c r="A808" s="1">
        <v>45604</v>
      </c>
      <c r="B808">
        <v>5995.54</v>
      </c>
      <c r="C808" s="3">
        <f t="shared" si="25"/>
        <v>3.7568431802580903E-3</v>
      </c>
      <c r="D808">
        <f>MONTH(tbl_SP500_Clean[[#This Row],[observation_date]])</f>
        <v>11</v>
      </c>
      <c r="E808" t="str">
        <f t="shared" si="26"/>
        <v>No</v>
      </c>
    </row>
    <row r="809" spans="1:5" hidden="1" x14ac:dyDescent="0.25">
      <c r="A809" s="1">
        <v>45607</v>
      </c>
      <c r="B809">
        <v>6001.35</v>
      </c>
      <c r="C809" s="3">
        <f t="shared" si="25"/>
        <v>9.6905366322306251E-4</v>
      </c>
      <c r="D809">
        <f>MONTH(tbl_SP500_Clean[[#This Row],[observation_date]])</f>
        <v>11</v>
      </c>
      <c r="E809" t="str">
        <f t="shared" si="26"/>
        <v>No</v>
      </c>
    </row>
    <row r="810" spans="1:5" hidden="1" x14ac:dyDescent="0.25">
      <c r="A810" s="1">
        <v>45608</v>
      </c>
      <c r="B810">
        <v>5983.99</v>
      </c>
      <c r="C810" s="3">
        <f t="shared" si="25"/>
        <v>-2.8926824797754808E-3</v>
      </c>
      <c r="D810">
        <f>MONTH(tbl_SP500_Clean[[#This Row],[observation_date]])</f>
        <v>11</v>
      </c>
      <c r="E810" t="str">
        <f t="shared" si="26"/>
        <v>No</v>
      </c>
    </row>
    <row r="811" spans="1:5" hidden="1" x14ac:dyDescent="0.25">
      <c r="A811" s="1">
        <v>45609</v>
      </c>
      <c r="B811">
        <v>5985.38</v>
      </c>
      <c r="C811" s="3">
        <f t="shared" si="25"/>
        <v>2.3228648443602469E-4</v>
      </c>
      <c r="D811">
        <f>MONTH(tbl_SP500_Clean[[#This Row],[observation_date]])</f>
        <v>11</v>
      </c>
      <c r="E811" t="str">
        <f t="shared" si="26"/>
        <v>No</v>
      </c>
    </row>
    <row r="812" spans="1:5" hidden="1" x14ac:dyDescent="0.25">
      <c r="A812" s="1">
        <v>45610</v>
      </c>
      <c r="B812">
        <v>5949.17</v>
      </c>
      <c r="C812" s="3">
        <f t="shared" si="25"/>
        <v>-6.0497412027306595E-3</v>
      </c>
      <c r="D812">
        <f>MONTH(tbl_SP500_Clean[[#This Row],[observation_date]])</f>
        <v>11</v>
      </c>
      <c r="E812" t="str">
        <f t="shared" si="26"/>
        <v>No</v>
      </c>
    </row>
    <row r="813" spans="1:5" hidden="1" x14ac:dyDescent="0.25">
      <c r="A813" s="1">
        <v>45611</v>
      </c>
      <c r="B813">
        <v>5870.62</v>
      </c>
      <c r="C813" s="3">
        <f t="shared" si="25"/>
        <v>-1.3203522508181844E-2</v>
      </c>
      <c r="D813">
        <f>MONTH(tbl_SP500_Clean[[#This Row],[observation_date]])</f>
        <v>11</v>
      </c>
      <c r="E813" t="str">
        <f t="shared" si="26"/>
        <v>No</v>
      </c>
    </row>
    <row r="814" spans="1:5" hidden="1" x14ac:dyDescent="0.25">
      <c r="A814" s="1">
        <v>45614</v>
      </c>
      <c r="B814">
        <v>5893.62</v>
      </c>
      <c r="C814" s="3">
        <f t="shared" si="25"/>
        <v>3.9178144727473416E-3</v>
      </c>
      <c r="D814">
        <f>MONTH(tbl_SP500_Clean[[#This Row],[observation_date]])</f>
        <v>11</v>
      </c>
      <c r="E814" t="str">
        <f t="shared" si="26"/>
        <v>No</v>
      </c>
    </row>
    <row r="815" spans="1:5" hidden="1" x14ac:dyDescent="0.25">
      <c r="A815" s="1">
        <v>45615</v>
      </c>
      <c r="B815">
        <v>5916.98</v>
      </c>
      <c r="C815" s="3">
        <f t="shared" si="25"/>
        <v>3.9636081050355597E-3</v>
      </c>
      <c r="D815">
        <f>MONTH(tbl_SP500_Clean[[#This Row],[observation_date]])</f>
        <v>11</v>
      </c>
      <c r="E815" t="str">
        <f t="shared" si="26"/>
        <v>No</v>
      </c>
    </row>
    <row r="816" spans="1:5" hidden="1" x14ac:dyDescent="0.25">
      <c r="A816" s="1">
        <v>45616</v>
      </c>
      <c r="B816">
        <v>5917.11</v>
      </c>
      <c r="C816" s="3">
        <f t="shared" si="25"/>
        <v>2.1970667468896151E-5</v>
      </c>
      <c r="D816">
        <f>MONTH(tbl_SP500_Clean[[#This Row],[observation_date]])</f>
        <v>11</v>
      </c>
      <c r="E816" t="str">
        <f t="shared" si="26"/>
        <v>No</v>
      </c>
    </row>
    <row r="817" spans="1:5" hidden="1" x14ac:dyDescent="0.25">
      <c r="A817" s="1">
        <v>45617</v>
      </c>
      <c r="B817">
        <v>5948.71</v>
      </c>
      <c r="C817" s="3">
        <f t="shared" si="25"/>
        <v>5.3404449131417816E-3</v>
      </c>
      <c r="D817">
        <f>MONTH(tbl_SP500_Clean[[#This Row],[observation_date]])</f>
        <v>11</v>
      </c>
      <c r="E817" t="str">
        <f t="shared" si="26"/>
        <v>No</v>
      </c>
    </row>
    <row r="818" spans="1:5" hidden="1" x14ac:dyDescent="0.25">
      <c r="A818" s="1">
        <v>45618</v>
      </c>
      <c r="B818">
        <v>5969.34</v>
      </c>
      <c r="C818" s="3">
        <f t="shared" si="25"/>
        <v>3.4679787718682048E-3</v>
      </c>
      <c r="D818">
        <f>MONTH(tbl_SP500_Clean[[#This Row],[observation_date]])</f>
        <v>11</v>
      </c>
      <c r="E818" t="str">
        <f t="shared" si="26"/>
        <v>No</v>
      </c>
    </row>
    <row r="819" spans="1:5" hidden="1" x14ac:dyDescent="0.25">
      <c r="A819" s="1">
        <v>45621</v>
      </c>
      <c r="B819">
        <v>5987.37</v>
      </c>
      <c r="C819" s="3">
        <f t="shared" si="25"/>
        <v>3.0204344198855727E-3</v>
      </c>
      <c r="D819">
        <f>MONTH(tbl_SP500_Clean[[#This Row],[observation_date]])</f>
        <v>11</v>
      </c>
      <c r="E819" t="str">
        <f t="shared" si="26"/>
        <v>No</v>
      </c>
    </row>
    <row r="820" spans="1:5" hidden="1" x14ac:dyDescent="0.25">
      <c r="A820" s="1">
        <v>45622</v>
      </c>
      <c r="B820">
        <v>6021.63</v>
      </c>
      <c r="C820" s="3">
        <f t="shared" si="25"/>
        <v>5.7220449045240597E-3</v>
      </c>
      <c r="D820">
        <f>MONTH(tbl_SP500_Clean[[#This Row],[observation_date]])</f>
        <v>11</v>
      </c>
      <c r="E820" t="str">
        <f t="shared" si="26"/>
        <v>No</v>
      </c>
    </row>
    <row r="821" spans="1:5" hidden="1" x14ac:dyDescent="0.25">
      <c r="A821" s="1">
        <v>45623</v>
      </c>
      <c r="B821">
        <v>5998.74</v>
      </c>
      <c r="C821" s="3">
        <f t="shared" si="25"/>
        <v>-3.801296326742149E-3</v>
      </c>
      <c r="D821">
        <f>MONTH(tbl_SP500_Clean[[#This Row],[observation_date]])</f>
        <v>11</v>
      </c>
      <c r="E821" t="str">
        <f t="shared" si="26"/>
        <v>No</v>
      </c>
    </row>
    <row r="822" spans="1:5" hidden="1" x14ac:dyDescent="0.25">
      <c r="A822" s="1">
        <v>45624</v>
      </c>
      <c r="C822">
        <f t="shared" si="25"/>
        <v>-1</v>
      </c>
      <c r="D822">
        <f>MONTH(tbl_SP500_Clean[[#This Row],[observation_date]])</f>
        <v>11</v>
      </c>
      <c r="E822" t="str">
        <f t="shared" si="26"/>
        <v>No</v>
      </c>
    </row>
    <row r="823" spans="1:5" x14ac:dyDescent="0.25">
      <c r="A823" s="1">
        <v>45625</v>
      </c>
      <c r="B823">
        <v>6032.38</v>
      </c>
      <c r="C823" s="3" t="e">
        <f t="shared" si="25"/>
        <v>#DIV/0!</v>
      </c>
      <c r="D823">
        <f>MONTH(tbl_SP500_Clean[[#This Row],[observation_date]])</f>
        <v>11</v>
      </c>
      <c r="E823" t="str">
        <f t="shared" si="26"/>
        <v>Yes</v>
      </c>
    </row>
    <row r="824" spans="1:5" hidden="1" x14ac:dyDescent="0.25">
      <c r="A824" s="1">
        <v>45628</v>
      </c>
      <c r="B824">
        <v>6047.15</v>
      </c>
      <c r="C824" s="3">
        <f t="shared" si="25"/>
        <v>2.4484531809997922E-3</v>
      </c>
      <c r="D824">
        <f>MONTH(tbl_SP500_Clean[[#This Row],[observation_date]])</f>
        <v>12</v>
      </c>
      <c r="E824" t="str">
        <f t="shared" si="26"/>
        <v>No</v>
      </c>
    </row>
    <row r="825" spans="1:5" hidden="1" x14ac:dyDescent="0.25">
      <c r="A825" s="1">
        <v>45629</v>
      </c>
      <c r="B825">
        <v>6049.88</v>
      </c>
      <c r="C825" s="3">
        <f t="shared" si="25"/>
        <v>4.5145233705141648E-4</v>
      </c>
      <c r="D825">
        <f>MONTH(tbl_SP500_Clean[[#This Row],[observation_date]])</f>
        <v>12</v>
      </c>
      <c r="E825" t="str">
        <f t="shared" si="26"/>
        <v>No</v>
      </c>
    </row>
    <row r="826" spans="1:5" hidden="1" x14ac:dyDescent="0.25">
      <c r="A826" s="1">
        <v>45630</v>
      </c>
      <c r="B826">
        <v>6086.49</v>
      </c>
      <c r="C826" s="3">
        <f t="shared" si="25"/>
        <v>6.051359696390618E-3</v>
      </c>
      <c r="D826">
        <f>MONTH(tbl_SP500_Clean[[#This Row],[observation_date]])</f>
        <v>12</v>
      </c>
      <c r="E826" t="str">
        <f t="shared" si="26"/>
        <v>No</v>
      </c>
    </row>
    <row r="827" spans="1:5" hidden="1" x14ac:dyDescent="0.25">
      <c r="A827" s="1">
        <v>45631</v>
      </c>
      <c r="B827">
        <v>6075.11</v>
      </c>
      <c r="C827" s="3">
        <f t="shared" si="25"/>
        <v>-1.8697147288503078E-3</v>
      </c>
      <c r="D827">
        <f>MONTH(tbl_SP500_Clean[[#This Row],[observation_date]])</f>
        <v>12</v>
      </c>
      <c r="E827" t="str">
        <f t="shared" si="26"/>
        <v>No</v>
      </c>
    </row>
    <row r="828" spans="1:5" hidden="1" x14ac:dyDescent="0.25">
      <c r="A828" s="1">
        <v>45632</v>
      </c>
      <c r="B828">
        <v>6090.27</v>
      </c>
      <c r="C828" s="3">
        <f t="shared" si="25"/>
        <v>2.4954280663232048E-3</v>
      </c>
      <c r="D828">
        <f>MONTH(tbl_SP500_Clean[[#This Row],[observation_date]])</f>
        <v>12</v>
      </c>
      <c r="E828" t="str">
        <f t="shared" si="26"/>
        <v>No</v>
      </c>
    </row>
    <row r="829" spans="1:5" hidden="1" x14ac:dyDescent="0.25">
      <c r="A829" s="1">
        <v>45635</v>
      </c>
      <c r="B829">
        <v>6052.85</v>
      </c>
      <c r="C829" s="3">
        <f t="shared" si="25"/>
        <v>-6.1442267748392223E-3</v>
      </c>
      <c r="D829">
        <f>MONTH(tbl_SP500_Clean[[#This Row],[observation_date]])</f>
        <v>12</v>
      </c>
      <c r="E829" t="str">
        <f t="shared" si="26"/>
        <v>No</v>
      </c>
    </row>
    <row r="830" spans="1:5" hidden="1" x14ac:dyDescent="0.25">
      <c r="A830" s="1">
        <v>45636</v>
      </c>
      <c r="B830">
        <v>6034.91</v>
      </c>
      <c r="C830" s="3">
        <f t="shared" si="25"/>
        <v>-2.9638930421207379E-3</v>
      </c>
      <c r="D830">
        <f>MONTH(tbl_SP500_Clean[[#This Row],[observation_date]])</f>
        <v>12</v>
      </c>
      <c r="E830" t="str">
        <f t="shared" si="26"/>
        <v>No</v>
      </c>
    </row>
    <row r="831" spans="1:5" hidden="1" x14ac:dyDescent="0.25">
      <c r="A831" s="1">
        <v>45637</v>
      </c>
      <c r="B831">
        <v>6084.19</v>
      </c>
      <c r="C831" s="3">
        <f t="shared" si="25"/>
        <v>8.1658218598122841E-3</v>
      </c>
      <c r="D831">
        <f>MONTH(tbl_SP500_Clean[[#This Row],[observation_date]])</f>
        <v>12</v>
      </c>
      <c r="E831" t="str">
        <f t="shared" si="26"/>
        <v>No</v>
      </c>
    </row>
    <row r="832" spans="1:5" hidden="1" x14ac:dyDescent="0.25">
      <c r="A832" s="1">
        <v>45638</v>
      </c>
      <c r="B832">
        <v>6051.25</v>
      </c>
      <c r="C832" s="3">
        <f t="shared" si="25"/>
        <v>-5.4140321061636144E-3</v>
      </c>
      <c r="D832">
        <f>MONTH(tbl_SP500_Clean[[#This Row],[observation_date]])</f>
        <v>12</v>
      </c>
      <c r="E832" t="str">
        <f t="shared" si="26"/>
        <v>No</v>
      </c>
    </row>
    <row r="833" spans="1:5" hidden="1" x14ac:dyDescent="0.25">
      <c r="A833" s="1">
        <v>45639</v>
      </c>
      <c r="B833">
        <v>6051.09</v>
      </c>
      <c r="C833" s="3">
        <f t="shared" si="25"/>
        <v>-2.6440818012783223E-5</v>
      </c>
      <c r="D833">
        <f>MONTH(tbl_SP500_Clean[[#This Row],[observation_date]])</f>
        <v>12</v>
      </c>
      <c r="E833" t="str">
        <f t="shared" si="26"/>
        <v>No</v>
      </c>
    </row>
    <row r="834" spans="1:5" hidden="1" x14ac:dyDescent="0.25">
      <c r="A834" s="1">
        <v>45642</v>
      </c>
      <c r="B834">
        <v>6074.08</v>
      </c>
      <c r="C834" s="3">
        <f t="shared" ref="C834:C897" si="27">(B834-B833)/B833</f>
        <v>3.799315495224791E-3</v>
      </c>
      <c r="D834">
        <f>MONTH(tbl_SP500_Clean[[#This Row],[observation_date]])</f>
        <v>12</v>
      </c>
      <c r="E834" t="str">
        <f t="shared" ref="E834:E897" si="28">IF(D834&lt;&gt;D835,"Yes","No")</f>
        <v>No</v>
      </c>
    </row>
    <row r="835" spans="1:5" hidden="1" x14ac:dyDescent="0.25">
      <c r="A835" s="1">
        <v>45643</v>
      </c>
      <c r="B835">
        <v>6050.61</v>
      </c>
      <c r="C835" s="3">
        <f t="shared" si="27"/>
        <v>-3.8639596449174616E-3</v>
      </c>
      <c r="D835">
        <f>MONTH(tbl_SP500_Clean[[#This Row],[observation_date]])</f>
        <v>12</v>
      </c>
      <c r="E835" t="str">
        <f t="shared" si="28"/>
        <v>No</v>
      </c>
    </row>
    <row r="836" spans="1:5" hidden="1" x14ac:dyDescent="0.25">
      <c r="A836" s="1">
        <v>45644</v>
      </c>
      <c r="B836">
        <v>5872.16</v>
      </c>
      <c r="C836" s="3">
        <f t="shared" si="27"/>
        <v>-2.9492894104891875E-2</v>
      </c>
      <c r="D836">
        <f>MONTH(tbl_SP500_Clean[[#This Row],[observation_date]])</f>
        <v>12</v>
      </c>
      <c r="E836" t="str">
        <f t="shared" si="28"/>
        <v>No</v>
      </c>
    </row>
    <row r="837" spans="1:5" hidden="1" x14ac:dyDescent="0.25">
      <c r="A837" s="1">
        <v>45645</v>
      </c>
      <c r="B837">
        <v>5867.08</v>
      </c>
      <c r="C837" s="3">
        <f t="shared" si="27"/>
        <v>-8.6509904362277719E-4</v>
      </c>
      <c r="D837">
        <f>MONTH(tbl_SP500_Clean[[#This Row],[observation_date]])</f>
        <v>12</v>
      </c>
      <c r="E837" t="str">
        <f t="shared" si="28"/>
        <v>No</v>
      </c>
    </row>
    <row r="838" spans="1:5" hidden="1" x14ac:dyDescent="0.25">
      <c r="A838" s="1">
        <v>45646</v>
      </c>
      <c r="B838">
        <v>5930.85</v>
      </c>
      <c r="C838" s="3">
        <f t="shared" si="27"/>
        <v>1.0869120584686153E-2</v>
      </c>
      <c r="D838">
        <f>MONTH(tbl_SP500_Clean[[#This Row],[observation_date]])</f>
        <v>12</v>
      </c>
      <c r="E838" t="str">
        <f t="shared" si="28"/>
        <v>No</v>
      </c>
    </row>
    <row r="839" spans="1:5" hidden="1" x14ac:dyDescent="0.25">
      <c r="A839" s="1">
        <v>45649</v>
      </c>
      <c r="B839">
        <v>5974.07</v>
      </c>
      <c r="C839" s="3">
        <f t="shared" si="27"/>
        <v>7.2873196927926587E-3</v>
      </c>
      <c r="D839">
        <f>MONTH(tbl_SP500_Clean[[#This Row],[observation_date]])</f>
        <v>12</v>
      </c>
      <c r="E839" t="str">
        <f t="shared" si="28"/>
        <v>No</v>
      </c>
    </row>
    <row r="840" spans="1:5" hidden="1" x14ac:dyDescent="0.25">
      <c r="A840" s="1">
        <v>45650</v>
      </c>
      <c r="B840">
        <v>6040.04</v>
      </c>
      <c r="C840" s="3">
        <f t="shared" si="27"/>
        <v>1.1042722967759041E-2</v>
      </c>
      <c r="D840">
        <f>MONTH(tbl_SP500_Clean[[#This Row],[observation_date]])</f>
        <v>12</v>
      </c>
      <c r="E840" t="str">
        <f t="shared" si="28"/>
        <v>No</v>
      </c>
    </row>
    <row r="841" spans="1:5" hidden="1" x14ac:dyDescent="0.25">
      <c r="A841" s="1">
        <v>45651</v>
      </c>
      <c r="C841">
        <f t="shared" si="27"/>
        <v>-1</v>
      </c>
      <c r="D841">
        <f>MONTH(tbl_SP500_Clean[[#This Row],[observation_date]])</f>
        <v>12</v>
      </c>
      <c r="E841" t="str">
        <f t="shared" si="28"/>
        <v>No</v>
      </c>
    </row>
    <row r="842" spans="1:5" hidden="1" x14ac:dyDescent="0.25">
      <c r="A842" s="1">
        <v>45652</v>
      </c>
      <c r="B842">
        <v>6037.59</v>
      </c>
      <c r="C842" s="3" t="e">
        <f t="shared" si="27"/>
        <v>#DIV/0!</v>
      </c>
      <c r="D842">
        <f>MONTH(tbl_SP500_Clean[[#This Row],[observation_date]])</f>
        <v>12</v>
      </c>
      <c r="E842" t="str">
        <f t="shared" si="28"/>
        <v>No</v>
      </c>
    </row>
    <row r="843" spans="1:5" hidden="1" x14ac:dyDescent="0.25">
      <c r="A843" s="1">
        <v>45653</v>
      </c>
      <c r="B843">
        <v>5970.84</v>
      </c>
      <c r="C843" s="3">
        <f t="shared" si="27"/>
        <v>-1.1055735815118284E-2</v>
      </c>
      <c r="D843">
        <f>MONTH(tbl_SP500_Clean[[#This Row],[observation_date]])</f>
        <v>12</v>
      </c>
      <c r="E843" t="str">
        <f t="shared" si="28"/>
        <v>No</v>
      </c>
    </row>
    <row r="844" spans="1:5" hidden="1" x14ac:dyDescent="0.25">
      <c r="A844" s="1">
        <v>45656</v>
      </c>
      <c r="B844">
        <v>5906.94</v>
      </c>
      <c r="C844" s="3">
        <f t="shared" si="27"/>
        <v>-1.0702011777237464E-2</v>
      </c>
      <c r="D844">
        <f>MONTH(tbl_SP500_Clean[[#This Row],[observation_date]])</f>
        <v>12</v>
      </c>
      <c r="E844" t="str">
        <f t="shared" si="28"/>
        <v>No</v>
      </c>
    </row>
    <row r="845" spans="1:5" x14ac:dyDescent="0.25">
      <c r="A845" s="1">
        <v>45657</v>
      </c>
      <c r="B845">
        <v>5881.63</v>
      </c>
      <c r="C845" s="3">
        <f t="shared" si="27"/>
        <v>-4.2847904329482763E-3</v>
      </c>
      <c r="D845">
        <f>MONTH(tbl_SP500_Clean[[#This Row],[observation_date]])</f>
        <v>12</v>
      </c>
      <c r="E845" t="str">
        <f t="shared" si="28"/>
        <v>Yes</v>
      </c>
    </row>
    <row r="846" spans="1:5" hidden="1" x14ac:dyDescent="0.25">
      <c r="A846" s="1">
        <v>45658</v>
      </c>
      <c r="C846">
        <f t="shared" si="27"/>
        <v>-1</v>
      </c>
      <c r="D846">
        <f>MONTH(tbl_SP500_Clean[[#This Row],[observation_date]])</f>
        <v>1</v>
      </c>
      <c r="E846" t="str">
        <f t="shared" si="28"/>
        <v>No</v>
      </c>
    </row>
    <row r="847" spans="1:5" hidden="1" x14ac:dyDescent="0.25">
      <c r="A847" s="1">
        <v>45659</v>
      </c>
      <c r="B847">
        <v>5868.55</v>
      </c>
      <c r="C847" s="3" t="e">
        <f t="shared" si="27"/>
        <v>#DIV/0!</v>
      </c>
      <c r="D847">
        <f>MONTH(tbl_SP500_Clean[[#This Row],[observation_date]])</f>
        <v>1</v>
      </c>
      <c r="E847" t="str">
        <f t="shared" si="28"/>
        <v>No</v>
      </c>
    </row>
    <row r="848" spans="1:5" hidden="1" x14ac:dyDescent="0.25">
      <c r="A848" s="1">
        <v>45660</v>
      </c>
      <c r="B848">
        <v>5942.47</v>
      </c>
      <c r="C848" s="3">
        <f t="shared" si="27"/>
        <v>1.2595956411720113E-2</v>
      </c>
      <c r="D848">
        <f>MONTH(tbl_SP500_Clean[[#This Row],[observation_date]])</f>
        <v>1</v>
      </c>
      <c r="E848" t="str">
        <f t="shared" si="28"/>
        <v>No</v>
      </c>
    </row>
    <row r="849" spans="1:5" hidden="1" x14ac:dyDescent="0.25">
      <c r="A849" s="1">
        <v>45663</v>
      </c>
      <c r="B849">
        <v>5975.38</v>
      </c>
      <c r="C849" s="3">
        <f t="shared" si="27"/>
        <v>5.5381011599553477E-3</v>
      </c>
      <c r="D849">
        <f>MONTH(tbl_SP500_Clean[[#This Row],[observation_date]])</f>
        <v>1</v>
      </c>
      <c r="E849" t="str">
        <f t="shared" si="28"/>
        <v>No</v>
      </c>
    </row>
    <row r="850" spans="1:5" hidden="1" x14ac:dyDescent="0.25">
      <c r="A850" s="1">
        <v>45664</v>
      </c>
      <c r="B850">
        <v>5909.03</v>
      </c>
      <c r="C850" s="3">
        <f t="shared" si="27"/>
        <v>-1.1103896321238208E-2</v>
      </c>
      <c r="D850">
        <f>MONTH(tbl_SP500_Clean[[#This Row],[observation_date]])</f>
        <v>1</v>
      </c>
      <c r="E850" t="str">
        <f t="shared" si="28"/>
        <v>No</v>
      </c>
    </row>
    <row r="851" spans="1:5" hidden="1" x14ac:dyDescent="0.25">
      <c r="A851" s="1">
        <v>45665</v>
      </c>
      <c r="B851">
        <v>5918.25</v>
      </c>
      <c r="C851" s="3">
        <f t="shared" si="27"/>
        <v>1.5603237756451152E-3</v>
      </c>
      <c r="D851">
        <f>MONTH(tbl_SP500_Clean[[#This Row],[observation_date]])</f>
        <v>1</v>
      </c>
      <c r="E851" t="str">
        <f t="shared" si="28"/>
        <v>No</v>
      </c>
    </row>
    <row r="852" spans="1:5" hidden="1" x14ac:dyDescent="0.25">
      <c r="A852" s="1">
        <v>45666</v>
      </c>
      <c r="C852">
        <f t="shared" si="27"/>
        <v>-1</v>
      </c>
      <c r="D852">
        <f>MONTH(tbl_SP500_Clean[[#This Row],[observation_date]])</f>
        <v>1</v>
      </c>
      <c r="E852" t="str">
        <f t="shared" si="28"/>
        <v>No</v>
      </c>
    </row>
    <row r="853" spans="1:5" hidden="1" x14ac:dyDescent="0.25">
      <c r="A853" s="1">
        <v>45667</v>
      </c>
      <c r="B853">
        <v>5827.04</v>
      </c>
      <c r="C853" s="3" t="e">
        <f t="shared" si="27"/>
        <v>#DIV/0!</v>
      </c>
      <c r="D853">
        <f>MONTH(tbl_SP500_Clean[[#This Row],[observation_date]])</f>
        <v>1</v>
      </c>
      <c r="E853" t="str">
        <f t="shared" si="28"/>
        <v>No</v>
      </c>
    </row>
    <row r="854" spans="1:5" hidden="1" x14ac:dyDescent="0.25">
      <c r="A854" s="1">
        <v>45670</v>
      </c>
      <c r="B854">
        <v>5836.22</v>
      </c>
      <c r="C854" s="3">
        <f t="shared" si="27"/>
        <v>1.5754139322881413E-3</v>
      </c>
      <c r="D854">
        <f>MONTH(tbl_SP500_Clean[[#This Row],[observation_date]])</f>
        <v>1</v>
      </c>
      <c r="E854" t="str">
        <f t="shared" si="28"/>
        <v>No</v>
      </c>
    </row>
    <row r="855" spans="1:5" hidden="1" x14ac:dyDescent="0.25">
      <c r="A855" s="1">
        <v>45671</v>
      </c>
      <c r="B855">
        <v>5842.91</v>
      </c>
      <c r="C855" s="3">
        <f t="shared" si="27"/>
        <v>1.146289893115681E-3</v>
      </c>
      <c r="D855">
        <f>MONTH(tbl_SP500_Clean[[#This Row],[observation_date]])</f>
        <v>1</v>
      </c>
      <c r="E855" t="str">
        <f t="shared" si="28"/>
        <v>No</v>
      </c>
    </row>
    <row r="856" spans="1:5" hidden="1" x14ac:dyDescent="0.25">
      <c r="A856" s="1">
        <v>45672</v>
      </c>
      <c r="B856">
        <v>5949.91</v>
      </c>
      <c r="C856" s="3">
        <f t="shared" si="27"/>
        <v>1.8312792769356365E-2</v>
      </c>
      <c r="D856">
        <f>MONTH(tbl_SP500_Clean[[#This Row],[observation_date]])</f>
        <v>1</v>
      </c>
      <c r="E856" t="str">
        <f t="shared" si="28"/>
        <v>No</v>
      </c>
    </row>
    <row r="857" spans="1:5" hidden="1" x14ac:dyDescent="0.25">
      <c r="A857" s="1">
        <v>45673</v>
      </c>
      <c r="B857">
        <v>5937.34</v>
      </c>
      <c r="C857" s="3">
        <f t="shared" si="27"/>
        <v>-2.1126369978705073E-3</v>
      </c>
      <c r="D857">
        <f>MONTH(tbl_SP500_Clean[[#This Row],[observation_date]])</f>
        <v>1</v>
      </c>
      <c r="E857" t="str">
        <f t="shared" si="28"/>
        <v>No</v>
      </c>
    </row>
    <row r="858" spans="1:5" hidden="1" x14ac:dyDescent="0.25">
      <c r="A858" s="1">
        <v>45674</v>
      </c>
      <c r="B858">
        <v>5996.66</v>
      </c>
      <c r="C858" s="3">
        <f t="shared" si="27"/>
        <v>9.9910060734267718E-3</v>
      </c>
      <c r="D858">
        <f>MONTH(tbl_SP500_Clean[[#This Row],[observation_date]])</f>
        <v>1</v>
      </c>
      <c r="E858" t="str">
        <f t="shared" si="28"/>
        <v>No</v>
      </c>
    </row>
    <row r="859" spans="1:5" hidden="1" x14ac:dyDescent="0.25">
      <c r="A859" s="1">
        <v>45677</v>
      </c>
      <c r="C859">
        <f t="shared" si="27"/>
        <v>-1</v>
      </c>
      <c r="D859">
        <f>MONTH(tbl_SP500_Clean[[#This Row],[observation_date]])</f>
        <v>1</v>
      </c>
      <c r="E859" t="str">
        <f t="shared" si="28"/>
        <v>No</v>
      </c>
    </row>
    <row r="860" spans="1:5" hidden="1" x14ac:dyDescent="0.25">
      <c r="A860" s="1">
        <v>45678</v>
      </c>
      <c r="B860">
        <v>6049.24</v>
      </c>
      <c r="C860" s="3" t="e">
        <f t="shared" si="27"/>
        <v>#DIV/0!</v>
      </c>
      <c r="D860">
        <f>MONTH(tbl_SP500_Clean[[#This Row],[observation_date]])</f>
        <v>1</v>
      </c>
      <c r="E860" t="str">
        <f t="shared" si="28"/>
        <v>No</v>
      </c>
    </row>
    <row r="861" spans="1:5" hidden="1" x14ac:dyDescent="0.25">
      <c r="A861" s="1">
        <v>45679</v>
      </c>
      <c r="B861">
        <v>6086.37</v>
      </c>
      <c r="C861" s="3">
        <f t="shared" si="27"/>
        <v>6.1379611323075477E-3</v>
      </c>
      <c r="D861">
        <f>MONTH(tbl_SP500_Clean[[#This Row],[observation_date]])</f>
        <v>1</v>
      </c>
      <c r="E861" t="str">
        <f t="shared" si="28"/>
        <v>No</v>
      </c>
    </row>
    <row r="862" spans="1:5" hidden="1" x14ac:dyDescent="0.25">
      <c r="A862" s="1">
        <v>45680</v>
      </c>
      <c r="B862">
        <v>6118.71</v>
      </c>
      <c r="C862" s="3">
        <f t="shared" si="27"/>
        <v>5.3135119948343832E-3</v>
      </c>
      <c r="D862">
        <f>MONTH(tbl_SP500_Clean[[#This Row],[observation_date]])</f>
        <v>1</v>
      </c>
      <c r="E862" t="str">
        <f t="shared" si="28"/>
        <v>No</v>
      </c>
    </row>
    <row r="863" spans="1:5" hidden="1" x14ac:dyDescent="0.25">
      <c r="A863" s="1">
        <v>45681</v>
      </c>
      <c r="B863">
        <v>6101.24</v>
      </c>
      <c r="C863" s="3">
        <f t="shared" si="27"/>
        <v>-2.8551769899211195E-3</v>
      </c>
      <c r="D863">
        <f>MONTH(tbl_SP500_Clean[[#This Row],[observation_date]])</f>
        <v>1</v>
      </c>
      <c r="E863" t="str">
        <f t="shared" si="28"/>
        <v>No</v>
      </c>
    </row>
    <row r="864" spans="1:5" hidden="1" x14ac:dyDescent="0.25">
      <c r="A864" s="1">
        <v>45684</v>
      </c>
      <c r="B864">
        <v>6012.28</v>
      </c>
      <c r="C864" s="3">
        <f t="shared" si="27"/>
        <v>-1.4580642623466712E-2</v>
      </c>
      <c r="D864">
        <f>MONTH(tbl_SP500_Clean[[#This Row],[observation_date]])</f>
        <v>1</v>
      </c>
      <c r="E864" t="str">
        <f t="shared" si="28"/>
        <v>No</v>
      </c>
    </row>
    <row r="865" spans="1:5" hidden="1" x14ac:dyDescent="0.25">
      <c r="A865" s="1">
        <v>45685</v>
      </c>
      <c r="B865">
        <v>6067.7</v>
      </c>
      <c r="C865" s="3">
        <f t="shared" si="27"/>
        <v>9.2178009008229943E-3</v>
      </c>
      <c r="D865">
        <f>MONTH(tbl_SP500_Clean[[#This Row],[observation_date]])</f>
        <v>1</v>
      </c>
      <c r="E865" t="str">
        <f t="shared" si="28"/>
        <v>No</v>
      </c>
    </row>
    <row r="866" spans="1:5" hidden="1" x14ac:dyDescent="0.25">
      <c r="A866" s="1">
        <v>45686</v>
      </c>
      <c r="B866">
        <v>6039.31</v>
      </c>
      <c r="C866" s="3">
        <f t="shared" si="27"/>
        <v>-4.6788733787101241E-3</v>
      </c>
      <c r="D866">
        <f>MONTH(tbl_SP500_Clean[[#This Row],[observation_date]])</f>
        <v>1</v>
      </c>
      <c r="E866" t="str">
        <f t="shared" si="28"/>
        <v>No</v>
      </c>
    </row>
    <row r="867" spans="1:5" hidden="1" x14ac:dyDescent="0.25">
      <c r="A867" s="1">
        <v>45687</v>
      </c>
      <c r="B867">
        <v>6071.17</v>
      </c>
      <c r="C867" s="3">
        <f t="shared" si="27"/>
        <v>5.2754370946349284E-3</v>
      </c>
      <c r="D867">
        <f>MONTH(tbl_SP500_Clean[[#This Row],[observation_date]])</f>
        <v>1</v>
      </c>
      <c r="E867" t="str">
        <f t="shared" si="28"/>
        <v>No</v>
      </c>
    </row>
    <row r="868" spans="1:5" x14ac:dyDescent="0.25">
      <c r="A868" s="1">
        <v>45688</v>
      </c>
      <c r="B868">
        <v>6040.53</v>
      </c>
      <c r="C868" s="3">
        <f t="shared" si="27"/>
        <v>-5.0468031697350471E-3</v>
      </c>
      <c r="D868">
        <f>MONTH(tbl_SP500_Clean[[#This Row],[observation_date]])</f>
        <v>1</v>
      </c>
      <c r="E868" t="str">
        <f t="shared" si="28"/>
        <v>Yes</v>
      </c>
    </row>
    <row r="869" spans="1:5" hidden="1" x14ac:dyDescent="0.25">
      <c r="A869" s="1">
        <v>45691</v>
      </c>
      <c r="B869">
        <v>5994.57</v>
      </c>
      <c r="C869" s="3">
        <f t="shared" si="27"/>
        <v>-7.6086038807853017E-3</v>
      </c>
      <c r="D869">
        <f>MONTH(tbl_SP500_Clean[[#This Row],[observation_date]])</f>
        <v>2</v>
      </c>
      <c r="E869" t="str">
        <f t="shared" si="28"/>
        <v>No</v>
      </c>
    </row>
    <row r="870" spans="1:5" hidden="1" x14ac:dyDescent="0.25">
      <c r="A870" s="1">
        <v>45692</v>
      </c>
      <c r="B870">
        <v>6037.88</v>
      </c>
      <c r="C870" s="3">
        <f t="shared" si="27"/>
        <v>7.2248718423507281E-3</v>
      </c>
      <c r="D870">
        <f>MONTH(tbl_SP500_Clean[[#This Row],[observation_date]])</f>
        <v>2</v>
      </c>
      <c r="E870" t="str">
        <f t="shared" si="28"/>
        <v>No</v>
      </c>
    </row>
    <row r="871" spans="1:5" hidden="1" x14ac:dyDescent="0.25">
      <c r="A871" s="1">
        <v>45693</v>
      </c>
      <c r="B871">
        <v>6061.48</v>
      </c>
      <c r="C871" s="3">
        <f t="shared" si="27"/>
        <v>3.9086566808216551E-3</v>
      </c>
      <c r="D871">
        <f>MONTH(tbl_SP500_Clean[[#This Row],[observation_date]])</f>
        <v>2</v>
      </c>
      <c r="E871" t="str">
        <f t="shared" si="28"/>
        <v>No</v>
      </c>
    </row>
    <row r="872" spans="1:5" hidden="1" x14ac:dyDescent="0.25">
      <c r="A872" s="1">
        <v>45694</v>
      </c>
      <c r="B872">
        <v>6083.57</v>
      </c>
      <c r="C872" s="3">
        <f t="shared" si="27"/>
        <v>3.6443244884087956E-3</v>
      </c>
      <c r="D872">
        <f>MONTH(tbl_SP500_Clean[[#This Row],[observation_date]])</f>
        <v>2</v>
      </c>
      <c r="E872" t="str">
        <f t="shared" si="28"/>
        <v>No</v>
      </c>
    </row>
    <row r="873" spans="1:5" hidden="1" x14ac:dyDescent="0.25">
      <c r="A873" s="1">
        <v>45695</v>
      </c>
      <c r="B873">
        <v>6025.99</v>
      </c>
      <c r="C873" s="3">
        <f t="shared" si="27"/>
        <v>-9.464837258386101E-3</v>
      </c>
      <c r="D873">
        <f>MONTH(tbl_SP500_Clean[[#This Row],[observation_date]])</f>
        <v>2</v>
      </c>
      <c r="E873" t="str">
        <f t="shared" si="28"/>
        <v>No</v>
      </c>
    </row>
    <row r="874" spans="1:5" hidden="1" x14ac:dyDescent="0.25">
      <c r="A874" s="1">
        <v>45698</v>
      </c>
      <c r="B874">
        <v>6066.44</v>
      </c>
      <c r="C874" s="3">
        <f t="shared" si="27"/>
        <v>6.7125899644705387E-3</v>
      </c>
      <c r="D874">
        <f>MONTH(tbl_SP500_Clean[[#This Row],[observation_date]])</f>
        <v>2</v>
      </c>
      <c r="E874" t="str">
        <f t="shared" si="28"/>
        <v>No</v>
      </c>
    </row>
    <row r="875" spans="1:5" hidden="1" x14ac:dyDescent="0.25">
      <c r="A875" s="1">
        <v>45699</v>
      </c>
      <c r="B875">
        <v>6068.5</v>
      </c>
      <c r="C875" s="3">
        <f t="shared" si="27"/>
        <v>3.3957312690810433E-4</v>
      </c>
      <c r="D875">
        <f>MONTH(tbl_SP500_Clean[[#This Row],[observation_date]])</f>
        <v>2</v>
      </c>
      <c r="E875" t="str">
        <f t="shared" si="28"/>
        <v>No</v>
      </c>
    </row>
    <row r="876" spans="1:5" hidden="1" x14ac:dyDescent="0.25">
      <c r="A876" s="1">
        <v>45700</v>
      </c>
      <c r="B876">
        <v>6051.97</v>
      </c>
      <c r="C876" s="3">
        <f t="shared" si="27"/>
        <v>-2.7239021174919249E-3</v>
      </c>
      <c r="D876">
        <f>MONTH(tbl_SP500_Clean[[#This Row],[observation_date]])</f>
        <v>2</v>
      </c>
      <c r="E876" t="str">
        <f t="shared" si="28"/>
        <v>No</v>
      </c>
    </row>
    <row r="877" spans="1:5" hidden="1" x14ac:dyDescent="0.25">
      <c r="A877" s="1">
        <v>45701</v>
      </c>
      <c r="B877">
        <v>6115.07</v>
      </c>
      <c r="C877" s="3">
        <f t="shared" si="27"/>
        <v>1.0426357037460438E-2</v>
      </c>
      <c r="D877">
        <f>MONTH(tbl_SP500_Clean[[#This Row],[observation_date]])</f>
        <v>2</v>
      </c>
      <c r="E877" t="str">
        <f t="shared" si="28"/>
        <v>No</v>
      </c>
    </row>
    <row r="878" spans="1:5" hidden="1" x14ac:dyDescent="0.25">
      <c r="A878" s="1">
        <v>45702</v>
      </c>
      <c r="B878">
        <v>6114.63</v>
      </c>
      <c r="C878" s="3">
        <f t="shared" si="27"/>
        <v>-7.1953387287406335E-5</v>
      </c>
      <c r="D878">
        <f>MONTH(tbl_SP500_Clean[[#This Row],[observation_date]])</f>
        <v>2</v>
      </c>
      <c r="E878" t="str">
        <f t="shared" si="28"/>
        <v>No</v>
      </c>
    </row>
    <row r="879" spans="1:5" hidden="1" x14ac:dyDescent="0.25">
      <c r="A879" s="1">
        <v>45705</v>
      </c>
      <c r="C879">
        <f t="shared" si="27"/>
        <v>-1</v>
      </c>
      <c r="D879">
        <f>MONTH(tbl_SP500_Clean[[#This Row],[observation_date]])</f>
        <v>2</v>
      </c>
      <c r="E879" t="str">
        <f t="shared" si="28"/>
        <v>No</v>
      </c>
    </row>
    <row r="880" spans="1:5" hidden="1" x14ac:dyDescent="0.25">
      <c r="A880" s="1">
        <v>45706</v>
      </c>
      <c r="B880">
        <v>6129.58</v>
      </c>
      <c r="C880" s="3" t="e">
        <f t="shared" si="27"/>
        <v>#DIV/0!</v>
      </c>
      <c r="D880">
        <f>MONTH(tbl_SP500_Clean[[#This Row],[observation_date]])</f>
        <v>2</v>
      </c>
      <c r="E880" t="str">
        <f t="shared" si="28"/>
        <v>No</v>
      </c>
    </row>
    <row r="881" spans="1:5" hidden="1" x14ac:dyDescent="0.25">
      <c r="A881" s="1">
        <v>45707</v>
      </c>
      <c r="B881">
        <v>6144.15</v>
      </c>
      <c r="C881" s="3">
        <f t="shared" si="27"/>
        <v>2.3769980977489009E-3</v>
      </c>
      <c r="D881">
        <f>MONTH(tbl_SP500_Clean[[#This Row],[observation_date]])</f>
        <v>2</v>
      </c>
      <c r="E881" t="str">
        <f t="shared" si="28"/>
        <v>No</v>
      </c>
    </row>
    <row r="882" spans="1:5" hidden="1" x14ac:dyDescent="0.25">
      <c r="A882" s="1">
        <v>45708</v>
      </c>
      <c r="B882">
        <v>6117.52</v>
      </c>
      <c r="C882" s="3">
        <f t="shared" si="27"/>
        <v>-4.3342040803038993E-3</v>
      </c>
      <c r="D882">
        <f>MONTH(tbl_SP500_Clean[[#This Row],[observation_date]])</f>
        <v>2</v>
      </c>
      <c r="E882" t="str">
        <f t="shared" si="28"/>
        <v>No</v>
      </c>
    </row>
    <row r="883" spans="1:5" hidden="1" x14ac:dyDescent="0.25">
      <c r="A883" s="1">
        <v>45709</v>
      </c>
      <c r="B883">
        <v>6013.13</v>
      </c>
      <c r="C883" s="3">
        <f t="shared" si="27"/>
        <v>-1.7064104408322379E-2</v>
      </c>
      <c r="D883">
        <f>MONTH(tbl_SP500_Clean[[#This Row],[observation_date]])</f>
        <v>2</v>
      </c>
      <c r="E883" t="str">
        <f t="shared" si="28"/>
        <v>No</v>
      </c>
    </row>
    <row r="884" spans="1:5" hidden="1" x14ac:dyDescent="0.25">
      <c r="A884" s="1">
        <v>45712</v>
      </c>
      <c r="B884">
        <v>5983.25</v>
      </c>
      <c r="C884" s="3">
        <f t="shared" si="27"/>
        <v>-4.9691258961639126E-3</v>
      </c>
      <c r="D884">
        <f>MONTH(tbl_SP500_Clean[[#This Row],[observation_date]])</f>
        <v>2</v>
      </c>
      <c r="E884" t="str">
        <f t="shared" si="28"/>
        <v>No</v>
      </c>
    </row>
    <row r="885" spans="1:5" hidden="1" x14ac:dyDescent="0.25">
      <c r="A885" s="1">
        <v>45713</v>
      </c>
      <c r="B885">
        <v>5955.25</v>
      </c>
      <c r="C885" s="3">
        <f t="shared" si="27"/>
        <v>-4.6797309154723602E-3</v>
      </c>
      <c r="D885">
        <f>MONTH(tbl_SP500_Clean[[#This Row],[observation_date]])</f>
        <v>2</v>
      </c>
      <c r="E885" t="str">
        <f t="shared" si="28"/>
        <v>No</v>
      </c>
    </row>
    <row r="886" spans="1:5" hidden="1" x14ac:dyDescent="0.25">
      <c r="A886" s="1">
        <v>45714</v>
      </c>
      <c r="B886">
        <v>5956.06</v>
      </c>
      <c r="C886" s="3">
        <f t="shared" si="27"/>
        <v>1.3601444103948618E-4</v>
      </c>
      <c r="D886">
        <f>MONTH(tbl_SP500_Clean[[#This Row],[observation_date]])</f>
        <v>2</v>
      </c>
      <c r="E886" t="str">
        <f t="shared" si="28"/>
        <v>No</v>
      </c>
    </row>
    <row r="887" spans="1:5" hidden="1" x14ac:dyDescent="0.25">
      <c r="A887" s="1">
        <v>45715</v>
      </c>
      <c r="B887">
        <v>5861.57</v>
      </c>
      <c r="C887" s="3">
        <f t="shared" si="27"/>
        <v>-1.5864514460902122E-2</v>
      </c>
      <c r="D887">
        <f>MONTH(tbl_SP500_Clean[[#This Row],[observation_date]])</f>
        <v>2</v>
      </c>
      <c r="E887" t="str">
        <f t="shared" si="28"/>
        <v>No</v>
      </c>
    </row>
    <row r="888" spans="1:5" x14ac:dyDescent="0.25">
      <c r="A888" s="1">
        <v>45716</v>
      </c>
      <c r="B888">
        <v>5954.5</v>
      </c>
      <c r="C888" s="3">
        <f t="shared" si="27"/>
        <v>1.5854114170776822E-2</v>
      </c>
      <c r="D888">
        <f>MONTH(tbl_SP500_Clean[[#This Row],[observation_date]])</f>
        <v>2</v>
      </c>
      <c r="E888" t="str">
        <f t="shared" si="28"/>
        <v>Yes</v>
      </c>
    </row>
    <row r="889" spans="1:5" hidden="1" x14ac:dyDescent="0.25">
      <c r="A889" s="1">
        <v>45719</v>
      </c>
      <c r="B889">
        <v>5849.72</v>
      </c>
      <c r="C889" s="3">
        <f t="shared" si="27"/>
        <v>-1.7596775547904904E-2</v>
      </c>
      <c r="D889">
        <f>MONTH(tbl_SP500_Clean[[#This Row],[observation_date]])</f>
        <v>3</v>
      </c>
      <c r="E889" t="str">
        <f t="shared" si="28"/>
        <v>No</v>
      </c>
    </row>
    <row r="890" spans="1:5" hidden="1" x14ac:dyDescent="0.25">
      <c r="A890" s="1">
        <v>45720</v>
      </c>
      <c r="B890">
        <v>5778.15</v>
      </c>
      <c r="C890" s="3">
        <f t="shared" si="27"/>
        <v>-1.2234773630190952E-2</v>
      </c>
      <c r="D890">
        <f>MONTH(tbl_SP500_Clean[[#This Row],[observation_date]])</f>
        <v>3</v>
      </c>
      <c r="E890" t="str">
        <f t="shared" si="28"/>
        <v>No</v>
      </c>
    </row>
    <row r="891" spans="1:5" hidden="1" x14ac:dyDescent="0.25">
      <c r="A891" s="1">
        <v>45721</v>
      </c>
      <c r="B891">
        <v>5842.63</v>
      </c>
      <c r="C891" s="3">
        <f t="shared" si="27"/>
        <v>1.1159281084776351E-2</v>
      </c>
      <c r="D891">
        <f>MONTH(tbl_SP500_Clean[[#This Row],[observation_date]])</f>
        <v>3</v>
      </c>
      <c r="E891" t="str">
        <f t="shared" si="28"/>
        <v>No</v>
      </c>
    </row>
    <row r="892" spans="1:5" hidden="1" x14ac:dyDescent="0.25">
      <c r="A892" s="1">
        <v>45722</v>
      </c>
      <c r="B892">
        <v>5738.52</v>
      </c>
      <c r="C892" s="3">
        <f t="shared" si="27"/>
        <v>-1.7819030128555062E-2</v>
      </c>
      <c r="D892">
        <f>MONTH(tbl_SP500_Clean[[#This Row],[observation_date]])</f>
        <v>3</v>
      </c>
      <c r="E892" t="str">
        <f t="shared" si="28"/>
        <v>No</v>
      </c>
    </row>
    <row r="893" spans="1:5" hidden="1" x14ac:dyDescent="0.25">
      <c r="A893" s="1">
        <v>45723</v>
      </c>
      <c r="B893">
        <v>5770.2</v>
      </c>
      <c r="C893" s="3">
        <f t="shared" si="27"/>
        <v>5.5205871897282535E-3</v>
      </c>
      <c r="D893">
        <f>MONTH(tbl_SP500_Clean[[#This Row],[observation_date]])</f>
        <v>3</v>
      </c>
      <c r="E893" t="str">
        <f t="shared" si="28"/>
        <v>No</v>
      </c>
    </row>
    <row r="894" spans="1:5" hidden="1" x14ac:dyDescent="0.25">
      <c r="A894" s="1">
        <v>45726</v>
      </c>
      <c r="B894">
        <v>5614.56</v>
      </c>
      <c r="C894" s="3">
        <f t="shared" si="27"/>
        <v>-2.6973068524487786E-2</v>
      </c>
      <c r="D894">
        <f>MONTH(tbl_SP500_Clean[[#This Row],[observation_date]])</f>
        <v>3</v>
      </c>
      <c r="E894" t="str">
        <f t="shared" si="28"/>
        <v>No</v>
      </c>
    </row>
    <row r="895" spans="1:5" hidden="1" x14ac:dyDescent="0.25">
      <c r="A895" s="1">
        <v>45727</v>
      </c>
      <c r="B895">
        <v>5572.07</v>
      </c>
      <c r="C895" s="3">
        <f t="shared" si="27"/>
        <v>-7.5678236584880536E-3</v>
      </c>
      <c r="D895">
        <f>MONTH(tbl_SP500_Clean[[#This Row],[observation_date]])</f>
        <v>3</v>
      </c>
      <c r="E895" t="str">
        <f t="shared" si="28"/>
        <v>No</v>
      </c>
    </row>
    <row r="896" spans="1:5" hidden="1" x14ac:dyDescent="0.25">
      <c r="A896" s="1">
        <v>45728</v>
      </c>
      <c r="B896">
        <v>5599.3</v>
      </c>
      <c r="C896" s="3">
        <f t="shared" si="27"/>
        <v>4.8868732804865115E-3</v>
      </c>
      <c r="D896">
        <f>MONTH(tbl_SP500_Clean[[#This Row],[observation_date]])</f>
        <v>3</v>
      </c>
      <c r="E896" t="str">
        <f t="shared" si="28"/>
        <v>No</v>
      </c>
    </row>
    <row r="897" spans="1:5" hidden="1" x14ac:dyDescent="0.25">
      <c r="A897" s="1">
        <v>45729</v>
      </c>
      <c r="B897">
        <v>5521.52</v>
      </c>
      <c r="C897" s="3">
        <f t="shared" si="27"/>
        <v>-1.3891022092047175E-2</v>
      </c>
      <c r="D897">
        <f>MONTH(tbl_SP500_Clean[[#This Row],[observation_date]])</f>
        <v>3</v>
      </c>
      <c r="E897" t="str">
        <f t="shared" si="28"/>
        <v>No</v>
      </c>
    </row>
    <row r="898" spans="1:5" hidden="1" x14ac:dyDescent="0.25">
      <c r="A898" s="1">
        <v>45730</v>
      </c>
      <c r="B898">
        <v>5638.94</v>
      </c>
      <c r="C898" s="3">
        <f t="shared" ref="C898:C961" si="29">(B898-B897)/B897</f>
        <v>2.1265883307494883E-2</v>
      </c>
      <c r="D898">
        <f>MONTH(tbl_SP500_Clean[[#This Row],[observation_date]])</f>
        <v>3</v>
      </c>
      <c r="E898" t="str">
        <f t="shared" ref="E898:E961" si="30">IF(D898&lt;&gt;D899,"Yes","No")</f>
        <v>No</v>
      </c>
    </row>
    <row r="899" spans="1:5" hidden="1" x14ac:dyDescent="0.25">
      <c r="A899" s="1">
        <v>45733</v>
      </c>
      <c r="B899">
        <v>5675.12</v>
      </c>
      <c r="C899" s="3">
        <f t="shared" si="29"/>
        <v>6.4160994796894971E-3</v>
      </c>
      <c r="D899">
        <f>MONTH(tbl_SP500_Clean[[#This Row],[observation_date]])</f>
        <v>3</v>
      </c>
      <c r="E899" t="str">
        <f t="shared" si="30"/>
        <v>No</v>
      </c>
    </row>
    <row r="900" spans="1:5" hidden="1" x14ac:dyDescent="0.25">
      <c r="A900" s="1">
        <v>45734</v>
      </c>
      <c r="B900">
        <v>5614.66</v>
      </c>
      <c r="C900" s="3">
        <f t="shared" si="29"/>
        <v>-1.0653519220738952E-2</v>
      </c>
      <c r="D900">
        <f>MONTH(tbl_SP500_Clean[[#This Row],[observation_date]])</f>
        <v>3</v>
      </c>
      <c r="E900" t="str">
        <f t="shared" si="30"/>
        <v>No</v>
      </c>
    </row>
    <row r="901" spans="1:5" hidden="1" x14ac:dyDescent="0.25">
      <c r="A901" s="1">
        <v>45735</v>
      </c>
      <c r="B901">
        <v>5675.29</v>
      </c>
      <c r="C901" s="3">
        <f t="shared" si="29"/>
        <v>1.0798516740105386E-2</v>
      </c>
      <c r="D901">
        <f>MONTH(tbl_SP500_Clean[[#This Row],[observation_date]])</f>
        <v>3</v>
      </c>
      <c r="E901" t="str">
        <f t="shared" si="30"/>
        <v>No</v>
      </c>
    </row>
    <row r="902" spans="1:5" hidden="1" x14ac:dyDescent="0.25">
      <c r="A902" s="1">
        <v>45736</v>
      </c>
      <c r="B902">
        <v>5662.89</v>
      </c>
      <c r="C902" s="3">
        <f t="shared" si="29"/>
        <v>-2.1849103746239638E-3</v>
      </c>
      <c r="D902">
        <f>MONTH(tbl_SP500_Clean[[#This Row],[observation_date]])</f>
        <v>3</v>
      </c>
      <c r="E902" t="str">
        <f t="shared" si="30"/>
        <v>No</v>
      </c>
    </row>
    <row r="903" spans="1:5" hidden="1" x14ac:dyDescent="0.25">
      <c r="A903" s="1">
        <v>45737</v>
      </c>
      <c r="B903">
        <v>5667.56</v>
      </c>
      <c r="C903" s="3">
        <f t="shared" si="29"/>
        <v>8.2466726353506298E-4</v>
      </c>
      <c r="D903">
        <f>MONTH(tbl_SP500_Clean[[#This Row],[observation_date]])</f>
        <v>3</v>
      </c>
      <c r="E903" t="str">
        <f t="shared" si="30"/>
        <v>No</v>
      </c>
    </row>
    <row r="904" spans="1:5" hidden="1" x14ac:dyDescent="0.25">
      <c r="A904" s="1">
        <v>45740</v>
      </c>
      <c r="B904">
        <v>5767.57</v>
      </c>
      <c r="C904" s="3">
        <f t="shared" si="29"/>
        <v>1.7646041682840466E-2</v>
      </c>
      <c r="D904">
        <f>MONTH(tbl_SP500_Clean[[#This Row],[observation_date]])</f>
        <v>3</v>
      </c>
      <c r="E904" t="str">
        <f t="shared" si="30"/>
        <v>No</v>
      </c>
    </row>
    <row r="905" spans="1:5" hidden="1" x14ac:dyDescent="0.25">
      <c r="A905" s="1">
        <v>45741</v>
      </c>
      <c r="B905">
        <v>5776.65</v>
      </c>
      <c r="C905" s="3">
        <f t="shared" si="29"/>
        <v>1.5743198608772721E-3</v>
      </c>
      <c r="D905">
        <f>MONTH(tbl_SP500_Clean[[#This Row],[observation_date]])</f>
        <v>3</v>
      </c>
      <c r="E905" t="str">
        <f t="shared" si="30"/>
        <v>No</v>
      </c>
    </row>
    <row r="906" spans="1:5" hidden="1" x14ac:dyDescent="0.25">
      <c r="A906" s="1">
        <v>45742</v>
      </c>
      <c r="B906">
        <v>5712.2</v>
      </c>
      <c r="C906" s="3">
        <f t="shared" si="29"/>
        <v>-1.1156985450044545E-2</v>
      </c>
      <c r="D906">
        <f>MONTH(tbl_SP500_Clean[[#This Row],[observation_date]])</f>
        <v>3</v>
      </c>
      <c r="E906" t="str">
        <f t="shared" si="30"/>
        <v>No</v>
      </c>
    </row>
    <row r="907" spans="1:5" hidden="1" x14ac:dyDescent="0.25">
      <c r="A907" s="1">
        <v>45743</v>
      </c>
      <c r="B907">
        <v>5693.31</v>
      </c>
      <c r="C907" s="3">
        <f t="shared" si="29"/>
        <v>-3.3069570393192498E-3</v>
      </c>
      <c r="D907">
        <f>MONTH(tbl_SP500_Clean[[#This Row],[observation_date]])</f>
        <v>3</v>
      </c>
      <c r="E907" t="str">
        <f t="shared" si="30"/>
        <v>No</v>
      </c>
    </row>
    <row r="908" spans="1:5" hidden="1" x14ac:dyDescent="0.25">
      <c r="A908" s="1">
        <v>45744</v>
      </c>
      <c r="B908">
        <v>5580.94</v>
      </c>
      <c r="C908" s="3">
        <f t="shared" si="29"/>
        <v>-1.973720032810453E-2</v>
      </c>
      <c r="D908">
        <f>MONTH(tbl_SP500_Clean[[#This Row],[observation_date]])</f>
        <v>3</v>
      </c>
      <c r="E908" t="str">
        <f t="shared" si="30"/>
        <v>No</v>
      </c>
    </row>
    <row r="909" spans="1:5" x14ac:dyDescent="0.25">
      <c r="A909" s="1">
        <v>45747</v>
      </c>
      <c r="B909">
        <v>5611.85</v>
      </c>
      <c r="C909" s="3">
        <f t="shared" si="29"/>
        <v>5.5384935154294381E-3</v>
      </c>
      <c r="D909">
        <f>MONTH(tbl_SP500_Clean[[#This Row],[observation_date]])</f>
        <v>3</v>
      </c>
      <c r="E909" t="str">
        <f t="shared" si="30"/>
        <v>Yes</v>
      </c>
    </row>
    <row r="910" spans="1:5" hidden="1" x14ac:dyDescent="0.25">
      <c r="A910" s="1">
        <v>45748</v>
      </c>
      <c r="B910">
        <v>5633.07</v>
      </c>
      <c r="C910" s="3">
        <f t="shared" si="29"/>
        <v>3.781284246727789E-3</v>
      </c>
      <c r="D910">
        <f>MONTH(tbl_SP500_Clean[[#This Row],[observation_date]])</f>
        <v>4</v>
      </c>
      <c r="E910" t="str">
        <f t="shared" si="30"/>
        <v>No</v>
      </c>
    </row>
    <row r="911" spans="1:5" hidden="1" x14ac:dyDescent="0.25">
      <c r="A911" s="1">
        <v>45749</v>
      </c>
      <c r="B911">
        <v>5670.97</v>
      </c>
      <c r="C911" s="3">
        <f t="shared" si="29"/>
        <v>6.728125160880399E-3</v>
      </c>
      <c r="D911">
        <f>MONTH(tbl_SP500_Clean[[#This Row],[observation_date]])</f>
        <v>4</v>
      </c>
      <c r="E911" t="str">
        <f t="shared" si="30"/>
        <v>No</v>
      </c>
    </row>
    <row r="912" spans="1:5" hidden="1" x14ac:dyDescent="0.25">
      <c r="A912" s="1">
        <v>45750</v>
      </c>
      <c r="B912">
        <v>5396.52</v>
      </c>
      <c r="C912" s="3">
        <f t="shared" si="29"/>
        <v>-4.8395600752604899E-2</v>
      </c>
      <c r="D912">
        <f>MONTH(tbl_SP500_Clean[[#This Row],[observation_date]])</f>
        <v>4</v>
      </c>
      <c r="E912" t="str">
        <f t="shared" si="30"/>
        <v>No</v>
      </c>
    </row>
    <row r="913" spans="1:5" hidden="1" x14ac:dyDescent="0.25">
      <c r="A913" s="1">
        <v>45751</v>
      </c>
      <c r="B913">
        <v>5074.08</v>
      </c>
      <c r="C913" s="3">
        <f t="shared" si="29"/>
        <v>-5.9749616419470415E-2</v>
      </c>
      <c r="D913">
        <f>MONTH(tbl_SP500_Clean[[#This Row],[observation_date]])</f>
        <v>4</v>
      </c>
      <c r="E913" t="str">
        <f t="shared" si="30"/>
        <v>No</v>
      </c>
    </row>
    <row r="914" spans="1:5" hidden="1" x14ac:dyDescent="0.25">
      <c r="A914" s="1">
        <v>45754</v>
      </c>
      <c r="B914">
        <v>5062.25</v>
      </c>
      <c r="C914" s="3">
        <f t="shared" si="29"/>
        <v>-2.331457131144942E-3</v>
      </c>
      <c r="D914">
        <f>MONTH(tbl_SP500_Clean[[#This Row],[observation_date]])</f>
        <v>4</v>
      </c>
      <c r="E914" t="str">
        <f t="shared" si="30"/>
        <v>No</v>
      </c>
    </row>
    <row r="915" spans="1:5" hidden="1" x14ac:dyDescent="0.25">
      <c r="A915" s="1">
        <v>45755</v>
      </c>
      <c r="B915">
        <v>4982.7700000000004</v>
      </c>
      <c r="C915" s="3">
        <f t="shared" si="29"/>
        <v>-1.5700528421156514E-2</v>
      </c>
      <c r="D915">
        <f>MONTH(tbl_SP500_Clean[[#This Row],[observation_date]])</f>
        <v>4</v>
      </c>
      <c r="E915" t="str">
        <f t="shared" si="30"/>
        <v>No</v>
      </c>
    </row>
    <row r="916" spans="1:5" hidden="1" x14ac:dyDescent="0.25">
      <c r="A916" s="1">
        <v>45756</v>
      </c>
      <c r="B916">
        <v>5456.9</v>
      </c>
      <c r="C916" s="3">
        <f t="shared" si="29"/>
        <v>9.5153900340573444E-2</v>
      </c>
      <c r="D916">
        <f>MONTH(tbl_SP500_Clean[[#This Row],[observation_date]])</f>
        <v>4</v>
      </c>
      <c r="E916" t="str">
        <f t="shared" si="30"/>
        <v>No</v>
      </c>
    </row>
    <row r="917" spans="1:5" hidden="1" x14ac:dyDescent="0.25">
      <c r="A917" s="1">
        <v>45757</v>
      </c>
      <c r="B917">
        <v>5268.05</v>
      </c>
      <c r="C917" s="3">
        <f t="shared" si="29"/>
        <v>-3.4607561069471583E-2</v>
      </c>
      <c r="D917">
        <f>MONTH(tbl_SP500_Clean[[#This Row],[observation_date]])</f>
        <v>4</v>
      </c>
      <c r="E917" t="str">
        <f t="shared" si="30"/>
        <v>No</v>
      </c>
    </row>
    <row r="918" spans="1:5" hidden="1" x14ac:dyDescent="0.25">
      <c r="A918" s="1">
        <v>45758</v>
      </c>
      <c r="B918">
        <v>5363.36</v>
      </c>
      <c r="C918" s="3">
        <f t="shared" si="29"/>
        <v>1.8092083408471727E-2</v>
      </c>
      <c r="D918">
        <f>MONTH(tbl_SP500_Clean[[#This Row],[observation_date]])</f>
        <v>4</v>
      </c>
      <c r="E918" t="str">
        <f t="shared" si="30"/>
        <v>No</v>
      </c>
    </row>
    <row r="919" spans="1:5" hidden="1" x14ac:dyDescent="0.25">
      <c r="A919" s="1">
        <v>45761</v>
      </c>
      <c r="B919">
        <v>5405.97</v>
      </c>
      <c r="C919" s="3">
        <f t="shared" si="29"/>
        <v>7.9446466394201744E-3</v>
      </c>
      <c r="D919">
        <f>MONTH(tbl_SP500_Clean[[#This Row],[observation_date]])</f>
        <v>4</v>
      </c>
      <c r="E919" t="str">
        <f t="shared" si="30"/>
        <v>No</v>
      </c>
    </row>
    <row r="920" spans="1:5" hidden="1" x14ac:dyDescent="0.25">
      <c r="A920" s="1">
        <v>45762</v>
      </c>
      <c r="B920">
        <v>5396.63</v>
      </c>
      <c r="C920" s="3">
        <f t="shared" si="29"/>
        <v>-1.7277195396941058E-3</v>
      </c>
      <c r="D920">
        <f>MONTH(tbl_SP500_Clean[[#This Row],[observation_date]])</f>
        <v>4</v>
      </c>
      <c r="E920" t="str">
        <f t="shared" si="30"/>
        <v>No</v>
      </c>
    </row>
    <row r="921" spans="1:5" hidden="1" x14ac:dyDescent="0.25">
      <c r="A921" s="1">
        <v>45763</v>
      </c>
      <c r="B921">
        <v>5275.7</v>
      </c>
      <c r="C921" s="3">
        <f t="shared" si="29"/>
        <v>-2.2408428964001661E-2</v>
      </c>
      <c r="D921">
        <f>MONTH(tbl_SP500_Clean[[#This Row],[observation_date]])</f>
        <v>4</v>
      </c>
      <c r="E921" t="str">
        <f t="shared" si="30"/>
        <v>No</v>
      </c>
    </row>
    <row r="922" spans="1:5" hidden="1" x14ac:dyDescent="0.25">
      <c r="A922" s="1">
        <v>45764</v>
      </c>
      <c r="B922">
        <v>5282.7</v>
      </c>
      <c r="C922" s="3">
        <f t="shared" si="29"/>
        <v>1.3268381447011771E-3</v>
      </c>
      <c r="D922">
        <f>MONTH(tbl_SP500_Clean[[#This Row],[observation_date]])</f>
        <v>4</v>
      </c>
      <c r="E922" t="str">
        <f t="shared" si="30"/>
        <v>No</v>
      </c>
    </row>
    <row r="923" spans="1:5" hidden="1" x14ac:dyDescent="0.25">
      <c r="A923" s="1">
        <v>45765</v>
      </c>
      <c r="C923">
        <f t="shared" si="29"/>
        <v>-1</v>
      </c>
      <c r="D923">
        <f>MONTH(tbl_SP500_Clean[[#This Row],[observation_date]])</f>
        <v>4</v>
      </c>
      <c r="E923" t="str">
        <f t="shared" si="30"/>
        <v>No</v>
      </c>
    </row>
    <row r="924" spans="1:5" hidden="1" x14ac:dyDescent="0.25">
      <c r="A924" s="1">
        <v>45768</v>
      </c>
      <c r="B924">
        <v>5158.2</v>
      </c>
      <c r="C924" s="3" t="e">
        <f t="shared" si="29"/>
        <v>#DIV/0!</v>
      </c>
      <c r="D924">
        <f>MONTH(tbl_SP500_Clean[[#This Row],[observation_date]])</f>
        <v>4</v>
      </c>
      <c r="E924" t="str">
        <f t="shared" si="30"/>
        <v>No</v>
      </c>
    </row>
    <row r="925" spans="1:5" hidden="1" x14ac:dyDescent="0.25">
      <c r="A925" s="1">
        <v>45769</v>
      </c>
      <c r="B925">
        <v>5287.76</v>
      </c>
      <c r="C925" s="3">
        <f t="shared" si="29"/>
        <v>2.5117288976774923E-2</v>
      </c>
      <c r="D925">
        <f>MONTH(tbl_SP500_Clean[[#This Row],[observation_date]])</f>
        <v>4</v>
      </c>
      <c r="E925" t="str">
        <f t="shared" si="30"/>
        <v>No</v>
      </c>
    </row>
    <row r="926" spans="1:5" hidden="1" x14ac:dyDescent="0.25">
      <c r="A926" s="1">
        <v>45770</v>
      </c>
      <c r="B926">
        <v>5375.86</v>
      </c>
      <c r="C926" s="3">
        <f t="shared" si="29"/>
        <v>1.6661119264111731E-2</v>
      </c>
      <c r="D926">
        <f>MONTH(tbl_SP500_Clean[[#This Row],[observation_date]])</f>
        <v>4</v>
      </c>
      <c r="E926" t="str">
        <f t="shared" si="30"/>
        <v>No</v>
      </c>
    </row>
    <row r="927" spans="1:5" hidden="1" x14ac:dyDescent="0.25">
      <c r="A927" s="1">
        <v>45771</v>
      </c>
      <c r="B927">
        <v>5484.77</v>
      </c>
      <c r="C927" s="3">
        <f t="shared" si="29"/>
        <v>2.0259084127935024E-2</v>
      </c>
      <c r="D927">
        <f>MONTH(tbl_SP500_Clean[[#This Row],[observation_date]])</f>
        <v>4</v>
      </c>
      <c r="E927" t="str">
        <f t="shared" si="30"/>
        <v>No</v>
      </c>
    </row>
    <row r="928" spans="1:5" hidden="1" x14ac:dyDescent="0.25">
      <c r="A928" s="1">
        <v>45772</v>
      </c>
      <c r="B928">
        <v>5525.21</v>
      </c>
      <c r="C928" s="3">
        <f t="shared" si="29"/>
        <v>7.3731441792453641E-3</v>
      </c>
      <c r="D928">
        <f>MONTH(tbl_SP500_Clean[[#This Row],[observation_date]])</f>
        <v>4</v>
      </c>
      <c r="E928" t="str">
        <f t="shared" si="30"/>
        <v>No</v>
      </c>
    </row>
    <row r="929" spans="1:5" hidden="1" x14ac:dyDescent="0.25">
      <c r="A929" s="1">
        <v>45775</v>
      </c>
      <c r="B929">
        <v>5528.75</v>
      </c>
      <c r="C929" s="3">
        <f t="shared" si="29"/>
        <v>6.406996295163376E-4</v>
      </c>
      <c r="D929">
        <f>MONTH(tbl_SP500_Clean[[#This Row],[observation_date]])</f>
        <v>4</v>
      </c>
      <c r="E929" t="str">
        <f t="shared" si="30"/>
        <v>No</v>
      </c>
    </row>
    <row r="930" spans="1:5" hidden="1" x14ac:dyDescent="0.25">
      <c r="A930" s="1">
        <v>45776</v>
      </c>
      <c r="B930">
        <v>5560.83</v>
      </c>
      <c r="C930" s="3">
        <f t="shared" si="29"/>
        <v>5.8023965634184807E-3</v>
      </c>
      <c r="D930">
        <f>MONTH(tbl_SP500_Clean[[#This Row],[observation_date]])</f>
        <v>4</v>
      </c>
      <c r="E930" t="str">
        <f t="shared" si="30"/>
        <v>No</v>
      </c>
    </row>
    <row r="931" spans="1:5" x14ac:dyDescent="0.25">
      <c r="A931" s="1">
        <v>45777</v>
      </c>
      <c r="B931">
        <v>5569.06</v>
      </c>
      <c r="C931" s="3">
        <f t="shared" si="29"/>
        <v>1.4799948928488145E-3</v>
      </c>
      <c r="D931">
        <f>MONTH(tbl_SP500_Clean[[#This Row],[observation_date]])</f>
        <v>4</v>
      </c>
      <c r="E931" t="str">
        <f t="shared" si="30"/>
        <v>Yes</v>
      </c>
    </row>
    <row r="932" spans="1:5" hidden="1" x14ac:dyDescent="0.25">
      <c r="A932" s="1">
        <v>45778</v>
      </c>
      <c r="B932">
        <v>5604.14</v>
      </c>
      <c r="C932" s="3">
        <f t="shared" si="29"/>
        <v>6.299088176460646E-3</v>
      </c>
      <c r="D932">
        <f>MONTH(tbl_SP500_Clean[[#This Row],[observation_date]])</f>
        <v>5</v>
      </c>
      <c r="E932" t="str">
        <f t="shared" si="30"/>
        <v>No</v>
      </c>
    </row>
    <row r="933" spans="1:5" hidden="1" x14ac:dyDescent="0.25">
      <c r="A933" s="1">
        <v>45779</v>
      </c>
      <c r="B933">
        <v>5686.67</v>
      </c>
      <c r="C933" s="3">
        <f t="shared" si="29"/>
        <v>1.4726612825518232E-2</v>
      </c>
      <c r="D933">
        <f>MONTH(tbl_SP500_Clean[[#This Row],[observation_date]])</f>
        <v>5</v>
      </c>
      <c r="E933" t="str">
        <f t="shared" si="30"/>
        <v>No</v>
      </c>
    </row>
    <row r="934" spans="1:5" hidden="1" x14ac:dyDescent="0.25">
      <c r="A934" s="1">
        <v>45782</v>
      </c>
      <c r="B934">
        <v>5650.38</v>
      </c>
      <c r="C934" s="3">
        <f t="shared" si="29"/>
        <v>-6.3815906321274072E-3</v>
      </c>
      <c r="D934">
        <f>MONTH(tbl_SP500_Clean[[#This Row],[observation_date]])</f>
        <v>5</v>
      </c>
      <c r="E934" t="str">
        <f t="shared" si="30"/>
        <v>No</v>
      </c>
    </row>
    <row r="935" spans="1:5" hidden="1" x14ac:dyDescent="0.25">
      <c r="A935" s="1">
        <v>45783</v>
      </c>
      <c r="B935">
        <v>5606.91</v>
      </c>
      <c r="C935" s="3">
        <f t="shared" si="29"/>
        <v>-7.6932878850626421E-3</v>
      </c>
      <c r="D935">
        <f>MONTH(tbl_SP500_Clean[[#This Row],[observation_date]])</f>
        <v>5</v>
      </c>
      <c r="E935" t="str">
        <f t="shared" si="30"/>
        <v>No</v>
      </c>
    </row>
    <row r="936" spans="1:5" hidden="1" x14ac:dyDescent="0.25">
      <c r="A936" s="1">
        <v>45784</v>
      </c>
      <c r="B936">
        <v>5631.28</v>
      </c>
      <c r="C936" s="3">
        <f t="shared" si="29"/>
        <v>4.3464225393309132E-3</v>
      </c>
      <c r="D936">
        <f>MONTH(tbl_SP500_Clean[[#This Row],[observation_date]])</f>
        <v>5</v>
      </c>
      <c r="E936" t="str">
        <f t="shared" si="30"/>
        <v>No</v>
      </c>
    </row>
    <row r="937" spans="1:5" hidden="1" x14ac:dyDescent="0.25">
      <c r="A937" s="1">
        <v>45785</v>
      </c>
      <c r="B937">
        <v>5663.94</v>
      </c>
      <c r="C937" s="3">
        <f t="shared" si="29"/>
        <v>5.7997471267633395E-3</v>
      </c>
      <c r="D937">
        <f>MONTH(tbl_SP500_Clean[[#This Row],[observation_date]])</f>
        <v>5</v>
      </c>
      <c r="E937" t="str">
        <f t="shared" si="30"/>
        <v>No</v>
      </c>
    </row>
    <row r="938" spans="1:5" hidden="1" x14ac:dyDescent="0.25">
      <c r="A938" s="1">
        <v>45786</v>
      </c>
      <c r="B938">
        <v>5659.91</v>
      </c>
      <c r="C938" s="3">
        <f t="shared" si="29"/>
        <v>-7.1151883671079599E-4</v>
      </c>
      <c r="D938">
        <f>MONTH(tbl_SP500_Clean[[#This Row],[observation_date]])</f>
        <v>5</v>
      </c>
      <c r="E938" t="str">
        <f t="shared" si="30"/>
        <v>No</v>
      </c>
    </row>
    <row r="939" spans="1:5" hidden="1" x14ac:dyDescent="0.25">
      <c r="A939" s="1">
        <v>45789</v>
      </c>
      <c r="B939">
        <v>5844.19</v>
      </c>
      <c r="C939" s="3">
        <f t="shared" si="29"/>
        <v>3.2558821606703953E-2</v>
      </c>
      <c r="D939">
        <f>MONTH(tbl_SP500_Clean[[#This Row],[observation_date]])</f>
        <v>5</v>
      </c>
      <c r="E939" t="str">
        <f t="shared" si="30"/>
        <v>No</v>
      </c>
    </row>
    <row r="940" spans="1:5" hidden="1" x14ac:dyDescent="0.25">
      <c r="A940" s="1">
        <v>45790</v>
      </c>
      <c r="B940">
        <v>5886.55</v>
      </c>
      <c r="C940" s="3">
        <f t="shared" si="29"/>
        <v>7.2482243048224964E-3</v>
      </c>
      <c r="D940">
        <f>MONTH(tbl_SP500_Clean[[#This Row],[observation_date]])</f>
        <v>5</v>
      </c>
      <c r="E940" t="str">
        <f t="shared" si="30"/>
        <v>No</v>
      </c>
    </row>
    <row r="941" spans="1:5" hidden="1" x14ac:dyDescent="0.25">
      <c r="A941" s="1">
        <v>45791</v>
      </c>
      <c r="B941">
        <v>5892.58</v>
      </c>
      <c r="C941" s="3">
        <f t="shared" si="29"/>
        <v>1.0243691126380894E-3</v>
      </c>
      <c r="D941">
        <f>MONTH(tbl_SP500_Clean[[#This Row],[observation_date]])</f>
        <v>5</v>
      </c>
      <c r="E941" t="str">
        <f t="shared" si="30"/>
        <v>No</v>
      </c>
    </row>
    <row r="942" spans="1:5" hidden="1" x14ac:dyDescent="0.25">
      <c r="A942" s="1">
        <v>45792</v>
      </c>
      <c r="B942">
        <v>5916.93</v>
      </c>
      <c r="C942" s="3">
        <f t="shared" si="29"/>
        <v>4.1323155561740973E-3</v>
      </c>
      <c r="D942">
        <f>MONTH(tbl_SP500_Clean[[#This Row],[observation_date]])</f>
        <v>5</v>
      </c>
      <c r="E942" t="str">
        <f t="shared" si="30"/>
        <v>No</v>
      </c>
    </row>
    <row r="943" spans="1:5" hidden="1" x14ac:dyDescent="0.25">
      <c r="A943" s="1">
        <v>45793</v>
      </c>
      <c r="B943">
        <v>5958.38</v>
      </c>
      <c r="C943" s="3">
        <f t="shared" si="29"/>
        <v>7.0053220166538758E-3</v>
      </c>
      <c r="D943">
        <f>MONTH(tbl_SP500_Clean[[#This Row],[observation_date]])</f>
        <v>5</v>
      </c>
      <c r="E943" t="str">
        <f t="shared" si="30"/>
        <v>No</v>
      </c>
    </row>
    <row r="944" spans="1:5" hidden="1" x14ac:dyDescent="0.25">
      <c r="A944" s="1">
        <v>45796</v>
      </c>
      <c r="B944">
        <v>5963.6</v>
      </c>
      <c r="C944" s="3">
        <f t="shared" si="29"/>
        <v>8.7607705450143403E-4</v>
      </c>
      <c r="D944">
        <f>MONTH(tbl_SP500_Clean[[#This Row],[observation_date]])</f>
        <v>5</v>
      </c>
      <c r="E944" t="str">
        <f t="shared" si="30"/>
        <v>No</v>
      </c>
    </row>
    <row r="945" spans="1:5" hidden="1" x14ac:dyDescent="0.25">
      <c r="A945" s="1">
        <v>45797</v>
      </c>
      <c r="B945">
        <v>5940.46</v>
      </c>
      <c r="C945" s="3">
        <f t="shared" si="29"/>
        <v>-3.8802065866255829E-3</v>
      </c>
      <c r="D945">
        <f>MONTH(tbl_SP500_Clean[[#This Row],[observation_date]])</f>
        <v>5</v>
      </c>
      <c r="E945" t="str">
        <f t="shared" si="30"/>
        <v>No</v>
      </c>
    </row>
    <row r="946" spans="1:5" hidden="1" x14ac:dyDescent="0.25">
      <c r="A946" s="1">
        <v>45798</v>
      </c>
      <c r="B946">
        <v>5844.61</v>
      </c>
      <c r="C946" s="3">
        <f t="shared" si="29"/>
        <v>-1.6135114115741939E-2</v>
      </c>
      <c r="D946">
        <f>MONTH(tbl_SP500_Clean[[#This Row],[observation_date]])</f>
        <v>5</v>
      </c>
      <c r="E946" t="str">
        <f t="shared" si="30"/>
        <v>No</v>
      </c>
    </row>
    <row r="947" spans="1:5" hidden="1" x14ac:dyDescent="0.25">
      <c r="A947" s="1">
        <v>45799</v>
      </c>
      <c r="B947">
        <v>5842.01</v>
      </c>
      <c r="C947" s="3">
        <f t="shared" si="29"/>
        <v>-4.4485431876540172E-4</v>
      </c>
      <c r="D947">
        <f>MONTH(tbl_SP500_Clean[[#This Row],[observation_date]])</f>
        <v>5</v>
      </c>
      <c r="E947" t="str">
        <f t="shared" si="30"/>
        <v>No</v>
      </c>
    </row>
    <row r="948" spans="1:5" hidden="1" x14ac:dyDescent="0.25">
      <c r="A948" s="1">
        <v>45800</v>
      </c>
      <c r="B948">
        <v>5802.82</v>
      </c>
      <c r="C948" s="3">
        <f t="shared" si="29"/>
        <v>-6.7083075859165784E-3</v>
      </c>
      <c r="D948">
        <f>MONTH(tbl_SP500_Clean[[#This Row],[observation_date]])</f>
        <v>5</v>
      </c>
      <c r="E948" t="str">
        <f t="shared" si="30"/>
        <v>No</v>
      </c>
    </row>
    <row r="949" spans="1:5" hidden="1" x14ac:dyDescent="0.25">
      <c r="A949" s="1">
        <v>45803</v>
      </c>
      <c r="C949">
        <f t="shared" si="29"/>
        <v>-1</v>
      </c>
      <c r="D949">
        <f>MONTH(tbl_SP500_Clean[[#This Row],[observation_date]])</f>
        <v>5</v>
      </c>
      <c r="E949" t="str">
        <f t="shared" si="30"/>
        <v>No</v>
      </c>
    </row>
    <row r="950" spans="1:5" hidden="1" x14ac:dyDescent="0.25">
      <c r="A950" s="1">
        <v>45804</v>
      </c>
      <c r="B950">
        <v>5921.54</v>
      </c>
      <c r="C950" s="3" t="e">
        <f t="shared" si="29"/>
        <v>#DIV/0!</v>
      </c>
      <c r="D950">
        <f>MONTH(tbl_SP500_Clean[[#This Row],[observation_date]])</f>
        <v>5</v>
      </c>
      <c r="E950" t="str">
        <f t="shared" si="30"/>
        <v>No</v>
      </c>
    </row>
    <row r="951" spans="1:5" hidden="1" x14ac:dyDescent="0.25">
      <c r="A951" s="1">
        <v>45805</v>
      </c>
      <c r="B951">
        <v>5888.55</v>
      </c>
      <c r="C951" s="3">
        <f t="shared" si="29"/>
        <v>-5.5711858739449166E-3</v>
      </c>
      <c r="D951">
        <f>MONTH(tbl_SP500_Clean[[#This Row],[observation_date]])</f>
        <v>5</v>
      </c>
      <c r="E951" t="str">
        <f t="shared" si="30"/>
        <v>No</v>
      </c>
    </row>
    <row r="952" spans="1:5" hidden="1" x14ac:dyDescent="0.25">
      <c r="A952" s="1">
        <v>45806</v>
      </c>
      <c r="B952">
        <v>5912.17</v>
      </c>
      <c r="C952" s="3">
        <f t="shared" si="29"/>
        <v>4.0111742279508355E-3</v>
      </c>
      <c r="D952">
        <f>MONTH(tbl_SP500_Clean[[#This Row],[observation_date]])</f>
        <v>5</v>
      </c>
      <c r="E952" t="str">
        <f t="shared" si="30"/>
        <v>No</v>
      </c>
    </row>
    <row r="953" spans="1:5" x14ac:dyDescent="0.25">
      <c r="A953" s="1">
        <v>45807</v>
      </c>
      <c r="B953">
        <v>5911.69</v>
      </c>
      <c r="C953" s="3">
        <f t="shared" si="29"/>
        <v>-8.1188463795945127E-5</v>
      </c>
      <c r="D953">
        <f>MONTH(tbl_SP500_Clean[[#This Row],[observation_date]])</f>
        <v>5</v>
      </c>
      <c r="E953" t="str">
        <f t="shared" si="30"/>
        <v>Yes</v>
      </c>
    </row>
    <row r="954" spans="1:5" hidden="1" x14ac:dyDescent="0.25">
      <c r="A954" s="1">
        <v>45810</v>
      </c>
      <c r="B954">
        <v>5935.94</v>
      </c>
      <c r="C954" s="3">
        <f t="shared" si="29"/>
        <v>4.1020418864994614E-3</v>
      </c>
      <c r="D954">
        <f>MONTH(tbl_SP500_Clean[[#This Row],[observation_date]])</f>
        <v>6</v>
      </c>
      <c r="E954" t="str">
        <f t="shared" si="30"/>
        <v>No</v>
      </c>
    </row>
    <row r="955" spans="1:5" hidden="1" x14ac:dyDescent="0.25">
      <c r="A955" s="1">
        <v>45811</v>
      </c>
      <c r="B955">
        <v>5970.37</v>
      </c>
      <c r="C955" s="3">
        <f t="shared" si="29"/>
        <v>5.8002607843071685E-3</v>
      </c>
      <c r="D955">
        <f>MONTH(tbl_SP500_Clean[[#This Row],[observation_date]])</f>
        <v>6</v>
      </c>
      <c r="E955" t="str">
        <f t="shared" si="30"/>
        <v>No</v>
      </c>
    </row>
    <row r="956" spans="1:5" hidden="1" x14ac:dyDescent="0.25">
      <c r="A956" s="1">
        <v>45812</v>
      </c>
      <c r="B956">
        <v>5970.81</v>
      </c>
      <c r="C956" s="3">
        <f t="shared" si="29"/>
        <v>7.3697275043340584E-5</v>
      </c>
      <c r="D956">
        <f>MONTH(tbl_SP500_Clean[[#This Row],[observation_date]])</f>
        <v>6</v>
      </c>
      <c r="E956" t="str">
        <f t="shared" si="30"/>
        <v>No</v>
      </c>
    </row>
    <row r="957" spans="1:5" hidden="1" x14ac:dyDescent="0.25">
      <c r="A957" s="1">
        <v>45813</v>
      </c>
      <c r="B957">
        <v>5939.3</v>
      </c>
      <c r="C957" s="3">
        <f t="shared" si="29"/>
        <v>-5.2773409302925758E-3</v>
      </c>
      <c r="D957">
        <f>MONTH(tbl_SP500_Clean[[#This Row],[observation_date]])</f>
        <v>6</v>
      </c>
      <c r="E957" t="str">
        <f t="shared" si="30"/>
        <v>No</v>
      </c>
    </row>
    <row r="958" spans="1:5" hidden="1" x14ac:dyDescent="0.25">
      <c r="A958" s="1">
        <v>45814</v>
      </c>
      <c r="B958">
        <v>6000.36</v>
      </c>
      <c r="C958" s="3">
        <f t="shared" si="29"/>
        <v>1.028067280655961E-2</v>
      </c>
      <c r="D958">
        <f>MONTH(tbl_SP500_Clean[[#This Row],[observation_date]])</f>
        <v>6</v>
      </c>
      <c r="E958" t="str">
        <f t="shared" si="30"/>
        <v>No</v>
      </c>
    </row>
    <row r="959" spans="1:5" hidden="1" x14ac:dyDescent="0.25">
      <c r="A959" s="1">
        <v>45817</v>
      </c>
      <c r="B959">
        <v>6005.88</v>
      </c>
      <c r="C959" s="3">
        <f t="shared" si="29"/>
        <v>9.1994480331187406E-4</v>
      </c>
      <c r="D959">
        <f>MONTH(tbl_SP500_Clean[[#This Row],[observation_date]])</f>
        <v>6</v>
      </c>
      <c r="E959" t="str">
        <f t="shared" si="30"/>
        <v>No</v>
      </c>
    </row>
    <row r="960" spans="1:5" hidden="1" x14ac:dyDescent="0.25">
      <c r="A960" s="1">
        <v>45818</v>
      </c>
      <c r="B960">
        <v>6038.81</v>
      </c>
      <c r="C960" s="3">
        <f t="shared" si="29"/>
        <v>5.4829600325015304E-3</v>
      </c>
      <c r="D960">
        <f>MONTH(tbl_SP500_Clean[[#This Row],[observation_date]])</f>
        <v>6</v>
      </c>
      <c r="E960" t="str">
        <f t="shared" si="30"/>
        <v>No</v>
      </c>
    </row>
    <row r="961" spans="1:5" hidden="1" x14ac:dyDescent="0.25">
      <c r="A961" s="1">
        <v>45819</v>
      </c>
      <c r="B961">
        <v>6022.24</v>
      </c>
      <c r="C961" s="3">
        <f t="shared" si="29"/>
        <v>-2.7439180898224348E-3</v>
      </c>
      <c r="D961">
        <f>MONTH(tbl_SP500_Clean[[#This Row],[observation_date]])</f>
        <v>6</v>
      </c>
      <c r="E961" t="str">
        <f t="shared" si="30"/>
        <v>No</v>
      </c>
    </row>
    <row r="962" spans="1:5" hidden="1" x14ac:dyDescent="0.25">
      <c r="A962" s="1">
        <v>45820</v>
      </c>
      <c r="B962">
        <v>6045.26</v>
      </c>
      <c r="C962" s="3">
        <f t="shared" ref="C962:C1025" si="31">(B962-B961)/B961</f>
        <v>3.8224979409655605E-3</v>
      </c>
      <c r="D962">
        <f>MONTH(tbl_SP500_Clean[[#This Row],[observation_date]])</f>
        <v>6</v>
      </c>
      <c r="E962" t="str">
        <f t="shared" ref="E962:E1025" si="32">IF(D962&lt;&gt;D963,"Yes","No")</f>
        <v>No</v>
      </c>
    </row>
    <row r="963" spans="1:5" hidden="1" x14ac:dyDescent="0.25">
      <c r="A963" s="1">
        <v>45821</v>
      </c>
      <c r="B963">
        <v>5976.97</v>
      </c>
      <c r="C963" s="3">
        <f t="shared" si="31"/>
        <v>-1.129645375054174E-2</v>
      </c>
      <c r="D963">
        <f>MONTH(tbl_SP500_Clean[[#This Row],[observation_date]])</f>
        <v>6</v>
      </c>
      <c r="E963" t="str">
        <f t="shared" si="32"/>
        <v>No</v>
      </c>
    </row>
    <row r="964" spans="1:5" hidden="1" x14ac:dyDescent="0.25">
      <c r="A964" s="1">
        <v>45824</v>
      </c>
      <c r="B964">
        <v>6033.11</v>
      </c>
      <c r="C964" s="3">
        <f t="shared" si="31"/>
        <v>9.3927190532994836E-3</v>
      </c>
      <c r="D964">
        <f>MONTH(tbl_SP500_Clean[[#This Row],[observation_date]])</f>
        <v>6</v>
      </c>
      <c r="E964" t="str">
        <f t="shared" si="32"/>
        <v>No</v>
      </c>
    </row>
    <row r="965" spans="1:5" hidden="1" x14ac:dyDescent="0.25">
      <c r="A965" s="1">
        <v>45825</v>
      </c>
      <c r="B965">
        <v>5982.72</v>
      </c>
      <c r="C965" s="3">
        <f t="shared" si="31"/>
        <v>-8.3522428730786313E-3</v>
      </c>
      <c r="D965">
        <f>MONTH(tbl_SP500_Clean[[#This Row],[observation_date]])</f>
        <v>6</v>
      </c>
      <c r="E965" t="str">
        <f t="shared" si="32"/>
        <v>No</v>
      </c>
    </row>
    <row r="966" spans="1:5" hidden="1" x14ac:dyDescent="0.25">
      <c r="A966" s="1">
        <v>45826</v>
      </c>
      <c r="B966">
        <v>5980.87</v>
      </c>
      <c r="C966" s="3">
        <f t="shared" si="31"/>
        <v>-3.0922389816009503E-4</v>
      </c>
      <c r="D966">
        <f>MONTH(tbl_SP500_Clean[[#This Row],[observation_date]])</f>
        <v>6</v>
      </c>
      <c r="E966" t="str">
        <f t="shared" si="32"/>
        <v>No</v>
      </c>
    </row>
    <row r="967" spans="1:5" hidden="1" x14ac:dyDescent="0.25">
      <c r="A967" s="1">
        <v>45827</v>
      </c>
      <c r="C967">
        <f t="shared" si="31"/>
        <v>-1</v>
      </c>
      <c r="D967">
        <f>MONTH(tbl_SP500_Clean[[#This Row],[observation_date]])</f>
        <v>6</v>
      </c>
      <c r="E967" t="str">
        <f t="shared" si="32"/>
        <v>No</v>
      </c>
    </row>
    <row r="968" spans="1:5" hidden="1" x14ac:dyDescent="0.25">
      <c r="A968" s="1">
        <v>45828</v>
      </c>
      <c r="B968">
        <v>5967.84</v>
      </c>
      <c r="C968" s="3" t="e">
        <f t="shared" si="31"/>
        <v>#DIV/0!</v>
      </c>
      <c r="D968">
        <f>MONTH(tbl_SP500_Clean[[#This Row],[observation_date]])</f>
        <v>6</v>
      </c>
      <c r="E968" t="str">
        <f t="shared" si="32"/>
        <v>No</v>
      </c>
    </row>
    <row r="969" spans="1:5" hidden="1" x14ac:dyDescent="0.25">
      <c r="A969" s="1">
        <v>45831</v>
      </c>
      <c r="B969">
        <v>6025.17</v>
      </c>
      <c r="C969" s="3">
        <f t="shared" si="31"/>
        <v>9.6064907906378057E-3</v>
      </c>
      <c r="D969">
        <f>MONTH(tbl_SP500_Clean[[#This Row],[observation_date]])</f>
        <v>6</v>
      </c>
      <c r="E969" t="str">
        <f t="shared" si="32"/>
        <v>No</v>
      </c>
    </row>
    <row r="970" spans="1:5" hidden="1" x14ac:dyDescent="0.25">
      <c r="A970" s="1">
        <v>45832</v>
      </c>
      <c r="B970">
        <v>6092.18</v>
      </c>
      <c r="C970" s="3">
        <f t="shared" si="31"/>
        <v>1.1121677894565666E-2</v>
      </c>
      <c r="D970">
        <f>MONTH(tbl_SP500_Clean[[#This Row],[observation_date]])</f>
        <v>6</v>
      </c>
      <c r="E970" t="str">
        <f t="shared" si="32"/>
        <v>No</v>
      </c>
    </row>
    <row r="971" spans="1:5" hidden="1" x14ac:dyDescent="0.25">
      <c r="A971" s="1">
        <v>45833</v>
      </c>
      <c r="B971">
        <v>6092.16</v>
      </c>
      <c r="C971" s="3">
        <f t="shared" si="31"/>
        <v>-3.2828970910965462E-6</v>
      </c>
      <c r="D971">
        <f>MONTH(tbl_SP500_Clean[[#This Row],[observation_date]])</f>
        <v>6</v>
      </c>
      <c r="E971" t="str">
        <f t="shared" si="32"/>
        <v>No</v>
      </c>
    </row>
    <row r="972" spans="1:5" hidden="1" x14ac:dyDescent="0.25">
      <c r="A972" s="1">
        <v>45834</v>
      </c>
      <c r="B972">
        <v>6141.02</v>
      </c>
      <c r="C972" s="3">
        <f t="shared" si="31"/>
        <v>8.02014392268105E-3</v>
      </c>
      <c r="D972">
        <f>MONTH(tbl_SP500_Clean[[#This Row],[observation_date]])</f>
        <v>6</v>
      </c>
      <c r="E972" t="str">
        <f t="shared" si="32"/>
        <v>No</v>
      </c>
    </row>
    <row r="973" spans="1:5" hidden="1" x14ac:dyDescent="0.25">
      <c r="A973" s="1">
        <v>45835</v>
      </c>
      <c r="B973">
        <v>6173.07</v>
      </c>
      <c r="C973" s="3">
        <f t="shared" si="31"/>
        <v>5.2190027063906764E-3</v>
      </c>
      <c r="D973">
        <f>MONTH(tbl_SP500_Clean[[#This Row],[observation_date]])</f>
        <v>6</v>
      </c>
      <c r="E973" t="str">
        <f t="shared" si="32"/>
        <v>No</v>
      </c>
    </row>
    <row r="974" spans="1:5" x14ac:dyDescent="0.25">
      <c r="A974" s="1">
        <v>45838</v>
      </c>
      <c r="B974">
        <v>6204.95</v>
      </c>
      <c r="C974" s="3">
        <f t="shared" si="31"/>
        <v>5.1643671625301694E-3</v>
      </c>
      <c r="D974">
        <f>MONTH(tbl_SP500_Clean[[#This Row],[observation_date]])</f>
        <v>6</v>
      </c>
      <c r="E974" t="str">
        <f t="shared" si="32"/>
        <v>Yes</v>
      </c>
    </row>
    <row r="975" spans="1:5" hidden="1" x14ac:dyDescent="0.25">
      <c r="A975" s="1">
        <v>45839</v>
      </c>
      <c r="B975">
        <v>6198.01</v>
      </c>
      <c r="C975" s="3">
        <f t="shared" si="31"/>
        <v>-1.1184618731818307E-3</v>
      </c>
      <c r="D975">
        <f>MONTH(tbl_SP500_Clean[[#This Row],[observation_date]])</f>
        <v>7</v>
      </c>
      <c r="E975" t="str">
        <f t="shared" si="32"/>
        <v>No</v>
      </c>
    </row>
    <row r="976" spans="1:5" hidden="1" x14ac:dyDescent="0.25">
      <c r="A976" s="1">
        <v>45840</v>
      </c>
      <c r="B976">
        <v>6227.42</v>
      </c>
      <c r="C976" s="3">
        <f t="shared" si="31"/>
        <v>4.7450714019499568E-3</v>
      </c>
      <c r="D976">
        <f>MONTH(tbl_SP500_Clean[[#This Row],[observation_date]])</f>
        <v>7</v>
      </c>
      <c r="E976" t="str">
        <f t="shared" si="32"/>
        <v>No</v>
      </c>
    </row>
    <row r="977" spans="1:5" hidden="1" x14ac:dyDescent="0.25">
      <c r="A977" s="1">
        <v>45841</v>
      </c>
      <c r="B977">
        <v>6279.35</v>
      </c>
      <c r="C977" s="3">
        <f t="shared" si="31"/>
        <v>8.3389268750140976E-3</v>
      </c>
      <c r="D977">
        <f>MONTH(tbl_SP500_Clean[[#This Row],[observation_date]])</f>
        <v>7</v>
      </c>
      <c r="E977" t="str">
        <f t="shared" si="32"/>
        <v>No</v>
      </c>
    </row>
    <row r="978" spans="1:5" hidden="1" x14ac:dyDescent="0.25">
      <c r="A978" s="1">
        <v>45842</v>
      </c>
      <c r="C978">
        <f t="shared" si="31"/>
        <v>-1</v>
      </c>
      <c r="D978">
        <f>MONTH(tbl_SP500_Clean[[#This Row],[observation_date]])</f>
        <v>7</v>
      </c>
      <c r="E978" t="str">
        <f t="shared" si="32"/>
        <v>No</v>
      </c>
    </row>
    <row r="979" spans="1:5" hidden="1" x14ac:dyDescent="0.25">
      <c r="A979" s="1">
        <v>45845</v>
      </c>
      <c r="B979">
        <v>6229.98</v>
      </c>
      <c r="C979" s="3" t="e">
        <f t="shared" si="31"/>
        <v>#DIV/0!</v>
      </c>
      <c r="D979">
        <f>MONTH(tbl_SP500_Clean[[#This Row],[observation_date]])</f>
        <v>7</v>
      </c>
      <c r="E979" t="str">
        <f t="shared" si="32"/>
        <v>No</v>
      </c>
    </row>
    <row r="980" spans="1:5" hidden="1" x14ac:dyDescent="0.25">
      <c r="A980" s="1">
        <v>45846</v>
      </c>
      <c r="B980">
        <v>6225.52</v>
      </c>
      <c r="C980" s="3">
        <f t="shared" si="31"/>
        <v>-7.1589314893452747E-4</v>
      </c>
      <c r="D980">
        <f>MONTH(tbl_SP500_Clean[[#This Row],[observation_date]])</f>
        <v>7</v>
      </c>
      <c r="E980" t="str">
        <f t="shared" si="32"/>
        <v>No</v>
      </c>
    </row>
    <row r="981" spans="1:5" hidden="1" x14ac:dyDescent="0.25">
      <c r="A981" s="1">
        <v>45847</v>
      </c>
      <c r="B981">
        <v>6263.26</v>
      </c>
      <c r="C981" s="3">
        <f t="shared" si="31"/>
        <v>6.0621442064277007E-3</v>
      </c>
      <c r="D981">
        <f>MONTH(tbl_SP500_Clean[[#This Row],[observation_date]])</f>
        <v>7</v>
      </c>
      <c r="E981" t="str">
        <f t="shared" si="32"/>
        <v>No</v>
      </c>
    </row>
    <row r="982" spans="1:5" hidden="1" x14ac:dyDescent="0.25">
      <c r="A982" s="1">
        <v>45848</v>
      </c>
      <c r="B982">
        <v>6280.46</v>
      </c>
      <c r="C982" s="3">
        <f t="shared" si="31"/>
        <v>2.7461737178402011E-3</v>
      </c>
      <c r="D982">
        <f>MONTH(tbl_SP500_Clean[[#This Row],[observation_date]])</f>
        <v>7</v>
      </c>
      <c r="E982" t="str">
        <f t="shared" si="32"/>
        <v>No</v>
      </c>
    </row>
    <row r="983" spans="1:5" hidden="1" x14ac:dyDescent="0.25">
      <c r="A983" s="1">
        <v>45849</v>
      </c>
      <c r="B983">
        <v>6259.75</v>
      </c>
      <c r="C983" s="3">
        <f t="shared" si="31"/>
        <v>-3.2975291618766835E-3</v>
      </c>
      <c r="D983">
        <f>MONTH(tbl_SP500_Clean[[#This Row],[observation_date]])</f>
        <v>7</v>
      </c>
      <c r="E983" t="str">
        <f t="shared" si="32"/>
        <v>No</v>
      </c>
    </row>
    <row r="984" spans="1:5" hidden="1" x14ac:dyDescent="0.25">
      <c r="A984" s="1">
        <v>45852</v>
      </c>
      <c r="B984">
        <v>6268.56</v>
      </c>
      <c r="C984" s="3">
        <f t="shared" si="31"/>
        <v>1.4074044490595312E-3</v>
      </c>
      <c r="D984">
        <f>MONTH(tbl_SP500_Clean[[#This Row],[observation_date]])</f>
        <v>7</v>
      </c>
      <c r="E984" t="str">
        <f t="shared" si="32"/>
        <v>No</v>
      </c>
    </row>
    <row r="985" spans="1:5" hidden="1" x14ac:dyDescent="0.25">
      <c r="A985" s="1">
        <v>45853</v>
      </c>
      <c r="B985">
        <v>6243.76</v>
      </c>
      <c r="C985" s="3">
        <f t="shared" si="31"/>
        <v>-3.9562515154996014E-3</v>
      </c>
      <c r="D985">
        <f>MONTH(tbl_SP500_Clean[[#This Row],[observation_date]])</f>
        <v>7</v>
      </c>
      <c r="E985" t="str">
        <f t="shared" si="32"/>
        <v>No</v>
      </c>
    </row>
    <row r="986" spans="1:5" hidden="1" x14ac:dyDescent="0.25">
      <c r="A986" s="1">
        <v>45854</v>
      </c>
      <c r="B986">
        <v>6263.7</v>
      </c>
      <c r="C986" s="3">
        <f t="shared" si="31"/>
        <v>3.1935884787371071E-3</v>
      </c>
      <c r="D986">
        <f>MONTH(tbl_SP500_Clean[[#This Row],[observation_date]])</f>
        <v>7</v>
      </c>
      <c r="E986" t="str">
        <f t="shared" si="32"/>
        <v>No</v>
      </c>
    </row>
    <row r="987" spans="1:5" hidden="1" x14ac:dyDescent="0.25">
      <c r="A987" s="1">
        <v>45855</v>
      </c>
      <c r="B987">
        <v>6297.36</v>
      </c>
      <c r="C987" s="3">
        <f t="shared" si="31"/>
        <v>5.3738205852770496E-3</v>
      </c>
      <c r="D987">
        <f>MONTH(tbl_SP500_Clean[[#This Row],[observation_date]])</f>
        <v>7</v>
      </c>
      <c r="E987" t="str">
        <f t="shared" si="32"/>
        <v>No</v>
      </c>
    </row>
    <row r="988" spans="1:5" hidden="1" x14ac:dyDescent="0.25">
      <c r="A988" s="1">
        <v>45856</v>
      </c>
      <c r="B988">
        <v>6296.79</v>
      </c>
      <c r="C988" s="3">
        <f t="shared" si="31"/>
        <v>-9.0514120202705422E-5</v>
      </c>
      <c r="D988">
        <f>MONTH(tbl_SP500_Clean[[#This Row],[observation_date]])</f>
        <v>7</v>
      </c>
      <c r="E988" t="str">
        <f t="shared" si="32"/>
        <v>No</v>
      </c>
    </row>
    <row r="989" spans="1:5" hidden="1" x14ac:dyDescent="0.25">
      <c r="A989" s="1">
        <v>45859</v>
      </c>
      <c r="B989">
        <v>6305.6</v>
      </c>
      <c r="C989" s="3">
        <f t="shared" si="31"/>
        <v>1.3991255862114507E-3</v>
      </c>
      <c r="D989">
        <f>MONTH(tbl_SP500_Clean[[#This Row],[observation_date]])</f>
        <v>7</v>
      </c>
      <c r="E989" t="str">
        <f t="shared" si="32"/>
        <v>No</v>
      </c>
    </row>
    <row r="990" spans="1:5" hidden="1" x14ac:dyDescent="0.25">
      <c r="A990" s="1">
        <v>45860</v>
      </c>
      <c r="B990">
        <v>6309.62</v>
      </c>
      <c r="C990" s="3">
        <f t="shared" si="31"/>
        <v>6.3752854605422587E-4</v>
      </c>
      <c r="D990">
        <f>MONTH(tbl_SP500_Clean[[#This Row],[observation_date]])</f>
        <v>7</v>
      </c>
      <c r="E990" t="str">
        <f t="shared" si="32"/>
        <v>No</v>
      </c>
    </row>
    <row r="991" spans="1:5" hidden="1" x14ac:dyDescent="0.25">
      <c r="A991" s="1">
        <v>45861</v>
      </c>
      <c r="B991">
        <v>6358.91</v>
      </c>
      <c r="C991" s="3">
        <f t="shared" si="31"/>
        <v>7.811880905664678E-3</v>
      </c>
      <c r="D991">
        <f>MONTH(tbl_SP500_Clean[[#This Row],[observation_date]])</f>
        <v>7</v>
      </c>
      <c r="E991" t="str">
        <f t="shared" si="32"/>
        <v>No</v>
      </c>
    </row>
    <row r="992" spans="1:5" hidden="1" x14ac:dyDescent="0.25">
      <c r="A992" s="1">
        <v>45862</v>
      </c>
      <c r="B992">
        <v>6363.35</v>
      </c>
      <c r="C992" s="3">
        <f t="shared" si="31"/>
        <v>6.982328732440795E-4</v>
      </c>
      <c r="D992">
        <f>MONTH(tbl_SP500_Clean[[#This Row],[observation_date]])</f>
        <v>7</v>
      </c>
      <c r="E992" t="str">
        <f t="shared" si="32"/>
        <v>No</v>
      </c>
    </row>
    <row r="993" spans="1:5" hidden="1" x14ac:dyDescent="0.25">
      <c r="A993" s="1">
        <v>45863</v>
      </c>
      <c r="B993">
        <v>6388.64</v>
      </c>
      <c r="C993" s="3">
        <f t="shared" si="31"/>
        <v>3.9743217016194243E-3</v>
      </c>
      <c r="D993">
        <f>MONTH(tbl_SP500_Clean[[#This Row],[observation_date]])</f>
        <v>7</v>
      </c>
      <c r="E993" t="str">
        <f t="shared" si="32"/>
        <v>No</v>
      </c>
    </row>
    <row r="994" spans="1:5" hidden="1" x14ac:dyDescent="0.25">
      <c r="A994" s="1">
        <v>45866</v>
      </c>
      <c r="B994">
        <v>6389.77</v>
      </c>
      <c r="C994" s="3">
        <f t="shared" si="31"/>
        <v>1.7687645570890035E-4</v>
      </c>
      <c r="D994">
        <f>MONTH(tbl_SP500_Clean[[#This Row],[observation_date]])</f>
        <v>7</v>
      </c>
      <c r="E994" t="str">
        <f t="shared" si="32"/>
        <v>No</v>
      </c>
    </row>
    <row r="995" spans="1:5" hidden="1" x14ac:dyDescent="0.25">
      <c r="A995" s="1">
        <v>45867</v>
      </c>
      <c r="B995">
        <v>6370.86</v>
      </c>
      <c r="C995" s="3">
        <f t="shared" si="31"/>
        <v>-2.9594179446209741E-3</v>
      </c>
      <c r="D995">
        <f>MONTH(tbl_SP500_Clean[[#This Row],[observation_date]])</f>
        <v>7</v>
      </c>
      <c r="E995" t="str">
        <f t="shared" si="32"/>
        <v>No</v>
      </c>
    </row>
    <row r="996" spans="1:5" hidden="1" x14ac:dyDescent="0.25">
      <c r="A996" s="1">
        <v>45868</v>
      </c>
      <c r="B996">
        <v>6362.9</v>
      </c>
      <c r="C996" s="3">
        <f t="shared" si="31"/>
        <v>-1.249438851269693E-3</v>
      </c>
      <c r="D996">
        <f>MONTH(tbl_SP500_Clean[[#This Row],[observation_date]])</f>
        <v>7</v>
      </c>
      <c r="E996" t="str">
        <f t="shared" si="32"/>
        <v>No</v>
      </c>
    </row>
    <row r="997" spans="1:5" x14ac:dyDescent="0.25">
      <c r="A997" s="1">
        <v>45869</v>
      </c>
      <c r="B997">
        <v>6339.39</v>
      </c>
      <c r="C997" s="3">
        <f t="shared" si="31"/>
        <v>-3.6948561190650979E-3</v>
      </c>
      <c r="D997">
        <f>MONTH(tbl_SP500_Clean[[#This Row],[observation_date]])</f>
        <v>7</v>
      </c>
      <c r="E997" t="str">
        <f t="shared" si="32"/>
        <v>Yes</v>
      </c>
    </row>
    <row r="998" spans="1:5" hidden="1" x14ac:dyDescent="0.25">
      <c r="A998" s="1">
        <v>45870</v>
      </c>
      <c r="B998">
        <v>6238.01</v>
      </c>
      <c r="C998" s="3">
        <f t="shared" si="31"/>
        <v>-1.5992074947274122E-2</v>
      </c>
      <c r="D998">
        <f>MONTH(tbl_SP500_Clean[[#This Row],[observation_date]])</f>
        <v>8</v>
      </c>
      <c r="E998" t="str">
        <f t="shared" si="32"/>
        <v>No</v>
      </c>
    </row>
    <row r="999" spans="1:5" hidden="1" x14ac:dyDescent="0.25">
      <c r="A999" s="1">
        <v>45873</v>
      </c>
      <c r="B999">
        <v>6329.94</v>
      </c>
      <c r="C999" s="3">
        <f t="shared" si="31"/>
        <v>1.4737071598153798E-2</v>
      </c>
      <c r="D999">
        <f>MONTH(tbl_SP500_Clean[[#This Row],[observation_date]])</f>
        <v>8</v>
      </c>
      <c r="E999" t="str">
        <f t="shared" si="32"/>
        <v>No</v>
      </c>
    </row>
    <row r="1000" spans="1:5" hidden="1" x14ac:dyDescent="0.25">
      <c r="A1000" s="1">
        <v>45874</v>
      </c>
      <c r="B1000">
        <v>6299.19</v>
      </c>
      <c r="C1000" s="3">
        <f t="shared" si="31"/>
        <v>-4.8578659513360319E-3</v>
      </c>
      <c r="D1000">
        <f>MONTH(tbl_SP500_Clean[[#This Row],[observation_date]])</f>
        <v>8</v>
      </c>
      <c r="E1000" t="str">
        <f t="shared" si="32"/>
        <v>No</v>
      </c>
    </row>
    <row r="1001" spans="1:5" hidden="1" x14ac:dyDescent="0.25">
      <c r="A1001" s="1">
        <v>45875</v>
      </c>
      <c r="B1001">
        <v>6345.06</v>
      </c>
      <c r="C1001" s="3">
        <f t="shared" si="31"/>
        <v>7.2818886237755653E-3</v>
      </c>
      <c r="D1001">
        <f>MONTH(tbl_SP500_Clean[[#This Row],[observation_date]])</f>
        <v>8</v>
      </c>
      <c r="E1001" t="str">
        <f t="shared" si="32"/>
        <v>No</v>
      </c>
    </row>
    <row r="1002" spans="1:5" hidden="1" x14ac:dyDescent="0.25">
      <c r="A1002" s="1">
        <v>45876</v>
      </c>
      <c r="B1002">
        <v>6340</v>
      </c>
      <c r="C1002" s="3">
        <f t="shared" si="31"/>
        <v>-7.9747078829836126E-4</v>
      </c>
      <c r="D1002">
        <f>MONTH(tbl_SP500_Clean[[#This Row],[observation_date]])</f>
        <v>8</v>
      </c>
      <c r="E1002" t="str">
        <f t="shared" si="32"/>
        <v>No</v>
      </c>
    </row>
    <row r="1003" spans="1:5" hidden="1" x14ac:dyDescent="0.25">
      <c r="A1003" s="1">
        <v>45877</v>
      </c>
      <c r="B1003">
        <v>6389.45</v>
      </c>
      <c r="C1003" s="3">
        <f t="shared" si="31"/>
        <v>7.7996845425867224E-3</v>
      </c>
      <c r="D1003">
        <f>MONTH(tbl_SP500_Clean[[#This Row],[observation_date]])</f>
        <v>8</v>
      </c>
      <c r="E1003" t="str">
        <f t="shared" si="32"/>
        <v>No</v>
      </c>
    </row>
    <row r="1004" spans="1:5" hidden="1" x14ac:dyDescent="0.25">
      <c r="A1004" s="1">
        <v>45880</v>
      </c>
      <c r="B1004">
        <v>6373.45</v>
      </c>
      <c r="C1004" s="3">
        <f t="shared" si="31"/>
        <v>-2.5041278983324072E-3</v>
      </c>
      <c r="D1004">
        <f>MONTH(tbl_SP500_Clean[[#This Row],[observation_date]])</f>
        <v>8</v>
      </c>
      <c r="E1004" t="str">
        <f t="shared" si="32"/>
        <v>No</v>
      </c>
    </row>
    <row r="1005" spans="1:5" hidden="1" x14ac:dyDescent="0.25">
      <c r="A1005" s="1">
        <v>45881</v>
      </c>
      <c r="B1005">
        <v>6445.76</v>
      </c>
      <c r="C1005" s="3">
        <f t="shared" si="31"/>
        <v>1.1345503612643137E-2</v>
      </c>
      <c r="D1005">
        <f>MONTH(tbl_SP500_Clean[[#This Row],[observation_date]])</f>
        <v>8</v>
      </c>
      <c r="E1005" t="str">
        <f t="shared" si="32"/>
        <v>No</v>
      </c>
    </row>
    <row r="1006" spans="1:5" hidden="1" x14ac:dyDescent="0.25">
      <c r="A1006" s="1">
        <v>45882</v>
      </c>
      <c r="B1006">
        <v>6466.58</v>
      </c>
      <c r="C1006" s="3">
        <f t="shared" si="31"/>
        <v>3.2300302834731218E-3</v>
      </c>
      <c r="D1006">
        <f>MONTH(tbl_SP500_Clean[[#This Row],[observation_date]])</f>
        <v>8</v>
      </c>
      <c r="E1006" t="str">
        <f t="shared" si="32"/>
        <v>No</v>
      </c>
    </row>
    <row r="1007" spans="1:5" hidden="1" x14ac:dyDescent="0.25">
      <c r="A1007" s="1">
        <v>45883</v>
      </c>
      <c r="B1007">
        <v>6468.54</v>
      </c>
      <c r="C1007" s="3">
        <f t="shared" si="31"/>
        <v>3.0309684562783364E-4</v>
      </c>
      <c r="D1007">
        <f>MONTH(tbl_SP500_Clean[[#This Row],[observation_date]])</f>
        <v>8</v>
      </c>
      <c r="E1007" t="str">
        <f t="shared" si="32"/>
        <v>No</v>
      </c>
    </row>
    <row r="1008" spans="1:5" hidden="1" x14ac:dyDescent="0.25">
      <c r="A1008" s="1">
        <v>45884</v>
      </c>
      <c r="B1008">
        <v>6449.8</v>
      </c>
      <c r="C1008" s="3">
        <f t="shared" si="31"/>
        <v>-2.8970988816641439E-3</v>
      </c>
      <c r="D1008">
        <f>MONTH(tbl_SP500_Clean[[#This Row],[observation_date]])</f>
        <v>8</v>
      </c>
      <c r="E1008" t="str">
        <f t="shared" si="32"/>
        <v>No</v>
      </c>
    </row>
    <row r="1009" spans="1:5" hidden="1" x14ac:dyDescent="0.25">
      <c r="A1009" s="1">
        <v>45887</v>
      </c>
      <c r="B1009">
        <v>6449.15</v>
      </c>
      <c r="C1009" s="3">
        <f t="shared" si="31"/>
        <v>-1.0077831870764143E-4</v>
      </c>
      <c r="D1009">
        <f>MONTH(tbl_SP500_Clean[[#This Row],[observation_date]])</f>
        <v>8</v>
      </c>
      <c r="E1009" t="str">
        <f t="shared" si="32"/>
        <v>No</v>
      </c>
    </row>
    <row r="1010" spans="1:5" hidden="1" x14ac:dyDescent="0.25">
      <c r="A1010" s="1">
        <v>45888</v>
      </c>
      <c r="B1010">
        <v>6411.37</v>
      </c>
      <c r="C1010" s="3">
        <f t="shared" si="31"/>
        <v>-5.8581363435491109E-3</v>
      </c>
      <c r="D1010">
        <f>MONTH(tbl_SP500_Clean[[#This Row],[observation_date]])</f>
        <v>8</v>
      </c>
      <c r="E1010" t="str">
        <f t="shared" si="32"/>
        <v>No</v>
      </c>
    </row>
    <row r="1011" spans="1:5" hidden="1" x14ac:dyDescent="0.25">
      <c r="A1011" s="1">
        <v>45889</v>
      </c>
      <c r="B1011">
        <v>6395.78</v>
      </c>
      <c r="C1011" s="3">
        <f t="shared" si="31"/>
        <v>-2.4316175793941304E-3</v>
      </c>
      <c r="D1011">
        <f>MONTH(tbl_SP500_Clean[[#This Row],[observation_date]])</f>
        <v>8</v>
      </c>
      <c r="E1011" t="str">
        <f t="shared" si="32"/>
        <v>No</v>
      </c>
    </row>
    <row r="1012" spans="1:5" hidden="1" x14ac:dyDescent="0.25">
      <c r="A1012" s="1">
        <v>45890</v>
      </c>
      <c r="B1012">
        <v>6370.17</v>
      </c>
      <c r="C1012" s="3">
        <f t="shared" si="31"/>
        <v>-4.0042027712022107E-3</v>
      </c>
      <c r="D1012">
        <f>MONTH(tbl_SP500_Clean[[#This Row],[observation_date]])</f>
        <v>8</v>
      </c>
      <c r="E1012" t="str">
        <f t="shared" si="32"/>
        <v>No</v>
      </c>
    </row>
    <row r="1013" spans="1:5" hidden="1" x14ac:dyDescent="0.25">
      <c r="A1013" s="1">
        <v>45891</v>
      </c>
      <c r="B1013">
        <v>6466.91</v>
      </c>
      <c r="C1013" s="3">
        <f t="shared" si="31"/>
        <v>1.518640789806234E-2</v>
      </c>
      <c r="D1013">
        <f>MONTH(tbl_SP500_Clean[[#This Row],[observation_date]])</f>
        <v>8</v>
      </c>
      <c r="E1013" t="str">
        <f t="shared" si="32"/>
        <v>No</v>
      </c>
    </row>
    <row r="1014" spans="1:5" hidden="1" x14ac:dyDescent="0.25">
      <c r="A1014" s="1">
        <v>45894</v>
      </c>
      <c r="B1014">
        <v>6439.32</v>
      </c>
      <c r="C1014" s="3">
        <f t="shared" si="31"/>
        <v>-4.2663343080389469E-3</v>
      </c>
      <c r="D1014">
        <f>MONTH(tbl_SP500_Clean[[#This Row],[observation_date]])</f>
        <v>8</v>
      </c>
      <c r="E1014" t="str">
        <f t="shared" si="32"/>
        <v>No</v>
      </c>
    </row>
    <row r="1015" spans="1:5" hidden="1" x14ac:dyDescent="0.25">
      <c r="A1015" s="1">
        <v>45895</v>
      </c>
      <c r="B1015">
        <v>6465.94</v>
      </c>
      <c r="C1015" s="3">
        <f t="shared" si="31"/>
        <v>4.133976879546271E-3</v>
      </c>
      <c r="D1015">
        <f>MONTH(tbl_SP500_Clean[[#This Row],[observation_date]])</f>
        <v>8</v>
      </c>
      <c r="E1015" t="str">
        <f t="shared" si="32"/>
        <v>No</v>
      </c>
    </row>
    <row r="1016" spans="1:5" hidden="1" x14ac:dyDescent="0.25">
      <c r="A1016" s="1">
        <v>45896</v>
      </c>
      <c r="B1016">
        <v>6481.4</v>
      </c>
      <c r="C1016" s="3">
        <f t="shared" si="31"/>
        <v>2.3909903277791068E-3</v>
      </c>
      <c r="D1016">
        <f>MONTH(tbl_SP500_Clean[[#This Row],[observation_date]])</f>
        <v>8</v>
      </c>
      <c r="E1016" t="str">
        <f t="shared" si="32"/>
        <v>No</v>
      </c>
    </row>
    <row r="1017" spans="1:5" hidden="1" x14ac:dyDescent="0.25">
      <c r="A1017" s="1">
        <v>45897</v>
      </c>
      <c r="B1017">
        <v>6501.86</v>
      </c>
      <c r="C1017" s="3">
        <f t="shared" si="31"/>
        <v>3.1567253988335911E-3</v>
      </c>
      <c r="D1017">
        <f>MONTH(tbl_SP500_Clean[[#This Row],[observation_date]])</f>
        <v>8</v>
      </c>
      <c r="E1017" t="str">
        <f t="shared" si="32"/>
        <v>No</v>
      </c>
    </row>
    <row r="1018" spans="1:5" x14ac:dyDescent="0.25">
      <c r="A1018" s="1">
        <v>45898</v>
      </c>
      <c r="B1018">
        <v>6460.26</v>
      </c>
      <c r="C1018" s="3">
        <f t="shared" si="31"/>
        <v>-6.3981691392923654E-3</v>
      </c>
      <c r="D1018">
        <f>MONTH(tbl_SP500_Clean[[#This Row],[observation_date]])</f>
        <v>8</v>
      </c>
      <c r="E1018" t="str">
        <f t="shared" si="32"/>
        <v>Yes</v>
      </c>
    </row>
    <row r="1019" spans="1:5" hidden="1" x14ac:dyDescent="0.25">
      <c r="A1019" s="1">
        <v>45901</v>
      </c>
      <c r="C1019">
        <f t="shared" si="31"/>
        <v>-1</v>
      </c>
      <c r="D1019">
        <f>MONTH(tbl_SP500_Clean[[#This Row],[observation_date]])</f>
        <v>9</v>
      </c>
      <c r="E1019" t="str">
        <f t="shared" si="32"/>
        <v>No</v>
      </c>
    </row>
    <row r="1020" spans="1:5" hidden="1" x14ac:dyDescent="0.25">
      <c r="A1020" s="1">
        <v>45902</v>
      </c>
      <c r="B1020">
        <v>6415.54</v>
      </c>
      <c r="C1020" s="3" t="e">
        <f t="shared" si="31"/>
        <v>#DIV/0!</v>
      </c>
      <c r="D1020">
        <f>MONTH(tbl_SP500_Clean[[#This Row],[observation_date]])</f>
        <v>9</v>
      </c>
      <c r="E1020" t="str">
        <f t="shared" si="32"/>
        <v>No</v>
      </c>
    </row>
    <row r="1021" spans="1:5" hidden="1" x14ac:dyDescent="0.25">
      <c r="A1021" s="1">
        <v>45903</v>
      </c>
      <c r="B1021">
        <v>6448.26</v>
      </c>
      <c r="C1021" s="3">
        <f t="shared" si="31"/>
        <v>5.1001162801572828E-3</v>
      </c>
      <c r="D1021">
        <f>MONTH(tbl_SP500_Clean[[#This Row],[observation_date]])</f>
        <v>9</v>
      </c>
      <c r="E1021" t="str">
        <f t="shared" si="32"/>
        <v>No</v>
      </c>
    </row>
    <row r="1022" spans="1:5" hidden="1" x14ac:dyDescent="0.25">
      <c r="A1022" s="1">
        <v>45904</v>
      </c>
      <c r="B1022">
        <v>6502.08</v>
      </c>
      <c r="C1022" s="3">
        <f t="shared" si="31"/>
        <v>8.3464376436433556E-3</v>
      </c>
      <c r="D1022">
        <f>MONTH(tbl_SP500_Clean[[#This Row],[observation_date]])</f>
        <v>9</v>
      </c>
      <c r="E1022" t="str">
        <f t="shared" si="32"/>
        <v>No</v>
      </c>
    </row>
    <row r="1023" spans="1:5" hidden="1" x14ac:dyDescent="0.25">
      <c r="A1023" s="1">
        <v>45905</v>
      </c>
      <c r="B1023">
        <v>6481.5</v>
      </c>
      <c r="C1023" s="3">
        <f t="shared" si="31"/>
        <v>-3.1651410010335042E-3</v>
      </c>
      <c r="D1023">
        <f>MONTH(tbl_SP500_Clean[[#This Row],[observation_date]])</f>
        <v>9</v>
      </c>
      <c r="E1023" t="str">
        <f t="shared" si="32"/>
        <v>No</v>
      </c>
    </row>
    <row r="1024" spans="1:5" hidden="1" x14ac:dyDescent="0.25">
      <c r="A1024" s="1">
        <v>45908</v>
      </c>
      <c r="B1024">
        <v>6495.15</v>
      </c>
      <c r="C1024" s="3">
        <f t="shared" si="31"/>
        <v>2.1059939828742785E-3</v>
      </c>
      <c r="D1024">
        <f>MONTH(tbl_SP500_Clean[[#This Row],[observation_date]])</f>
        <v>9</v>
      </c>
      <c r="E1024" t="str">
        <f t="shared" si="32"/>
        <v>No</v>
      </c>
    </row>
    <row r="1025" spans="1:5" hidden="1" x14ac:dyDescent="0.25">
      <c r="A1025" s="1">
        <v>45909</v>
      </c>
      <c r="B1025">
        <v>6512.61</v>
      </c>
      <c r="C1025" s="3">
        <f t="shared" si="31"/>
        <v>2.6881596267984633E-3</v>
      </c>
      <c r="D1025">
        <f>MONTH(tbl_SP500_Clean[[#This Row],[observation_date]])</f>
        <v>9</v>
      </c>
      <c r="E1025" t="str">
        <f t="shared" si="32"/>
        <v>No</v>
      </c>
    </row>
    <row r="1026" spans="1:5" hidden="1" x14ac:dyDescent="0.25">
      <c r="A1026" s="1">
        <v>45910</v>
      </c>
      <c r="B1026">
        <v>6532.04</v>
      </c>
      <c r="C1026" s="3">
        <f t="shared" ref="C1026:C1089" si="33">(B1026-B1025)/B1025</f>
        <v>2.9834428900241674E-3</v>
      </c>
      <c r="D1026">
        <f>MONTH(tbl_SP500_Clean[[#This Row],[observation_date]])</f>
        <v>9</v>
      </c>
      <c r="E1026" t="str">
        <f t="shared" ref="E1026:E1089" si="34">IF(D1026&lt;&gt;D1027,"Yes","No")</f>
        <v>No</v>
      </c>
    </row>
    <row r="1027" spans="1:5" hidden="1" x14ac:dyDescent="0.25">
      <c r="A1027" s="1">
        <v>45911</v>
      </c>
      <c r="B1027">
        <v>6587.47</v>
      </c>
      <c r="C1027" s="3">
        <f t="shared" si="33"/>
        <v>8.4858635280862169E-3</v>
      </c>
      <c r="D1027">
        <f>MONTH(tbl_SP500_Clean[[#This Row],[observation_date]])</f>
        <v>9</v>
      </c>
      <c r="E1027" t="str">
        <f t="shared" si="34"/>
        <v>No</v>
      </c>
    </row>
    <row r="1028" spans="1:5" hidden="1" x14ac:dyDescent="0.25">
      <c r="A1028" s="1">
        <v>45912</v>
      </c>
      <c r="B1028">
        <v>6584.29</v>
      </c>
      <c r="C1028" s="3">
        <f t="shared" si="33"/>
        <v>-4.827346462299321E-4</v>
      </c>
      <c r="D1028">
        <f>MONTH(tbl_SP500_Clean[[#This Row],[observation_date]])</f>
        <v>9</v>
      </c>
      <c r="E1028" t="str">
        <f t="shared" si="34"/>
        <v>No</v>
      </c>
    </row>
    <row r="1029" spans="1:5" hidden="1" x14ac:dyDescent="0.25">
      <c r="A1029" s="1">
        <v>45915</v>
      </c>
      <c r="B1029">
        <v>6615.28</v>
      </c>
      <c r="C1029" s="3">
        <f t="shared" si="33"/>
        <v>4.7066578173196776E-3</v>
      </c>
      <c r="D1029">
        <f>MONTH(tbl_SP500_Clean[[#This Row],[observation_date]])</f>
        <v>9</v>
      </c>
      <c r="E1029" t="str">
        <f t="shared" si="34"/>
        <v>No</v>
      </c>
    </row>
    <row r="1030" spans="1:5" hidden="1" x14ac:dyDescent="0.25">
      <c r="A1030" s="1">
        <v>45916</v>
      </c>
      <c r="B1030">
        <v>6606.76</v>
      </c>
      <c r="C1030" s="3">
        <f t="shared" si="33"/>
        <v>-1.2879273439672285E-3</v>
      </c>
      <c r="D1030">
        <f>MONTH(tbl_SP500_Clean[[#This Row],[observation_date]])</f>
        <v>9</v>
      </c>
      <c r="E1030" t="str">
        <f t="shared" si="34"/>
        <v>No</v>
      </c>
    </row>
    <row r="1031" spans="1:5" hidden="1" x14ac:dyDescent="0.25">
      <c r="A1031" s="1">
        <v>45917</v>
      </c>
      <c r="B1031">
        <v>6600.35</v>
      </c>
      <c r="C1031" s="3">
        <f t="shared" si="33"/>
        <v>-9.7021838238408144E-4</v>
      </c>
      <c r="D1031">
        <f>MONTH(tbl_SP500_Clean[[#This Row],[observation_date]])</f>
        <v>9</v>
      </c>
      <c r="E1031" t="str">
        <f t="shared" si="34"/>
        <v>No</v>
      </c>
    </row>
    <row r="1032" spans="1:5" hidden="1" x14ac:dyDescent="0.25">
      <c r="A1032" s="1">
        <v>45918</v>
      </c>
      <c r="B1032">
        <v>6631.96</v>
      </c>
      <c r="C1032" s="3">
        <f t="shared" si="33"/>
        <v>4.789139969850034E-3</v>
      </c>
      <c r="D1032">
        <f>MONTH(tbl_SP500_Clean[[#This Row],[observation_date]])</f>
        <v>9</v>
      </c>
      <c r="E1032" t="str">
        <f t="shared" si="34"/>
        <v>No</v>
      </c>
    </row>
    <row r="1033" spans="1:5" hidden="1" x14ac:dyDescent="0.25">
      <c r="A1033" s="1">
        <v>45919</v>
      </c>
      <c r="B1033">
        <v>6664.36</v>
      </c>
      <c r="C1033" s="3">
        <f t="shared" si="33"/>
        <v>4.8854335671505312E-3</v>
      </c>
      <c r="D1033">
        <f>MONTH(tbl_SP500_Clean[[#This Row],[observation_date]])</f>
        <v>9</v>
      </c>
      <c r="E1033" t="str">
        <f t="shared" si="34"/>
        <v>No</v>
      </c>
    </row>
    <row r="1034" spans="1:5" hidden="1" x14ac:dyDescent="0.25">
      <c r="A1034" s="1">
        <v>45922</v>
      </c>
      <c r="B1034">
        <v>6693.75</v>
      </c>
      <c r="C1034" s="3">
        <f t="shared" si="33"/>
        <v>4.4100258689507062E-3</v>
      </c>
      <c r="D1034">
        <f>MONTH(tbl_SP500_Clean[[#This Row],[observation_date]])</f>
        <v>9</v>
      </c>
      <c r="E1034" t="str">
        <f t="shared" si="34"/>
        <v>No</v>
      </c>
    </row>
    <row r="1035" spans="1:5" hidden="1" x14ac:dyDescent="0.25">
      <c r="A1035" s="1">
        <v>45923</v>
      </c>
      <c r="B1035">
        <v>6656.92</v>
      </c>
      <c r="C1035" s="3">
        <f t="shared" si="33"/>
        <v>-5.5021475256769262E-3</v>
      </c>
      <c r="D1035">
        <f>MONTH(tbl_SP500_Clean[[#This Row],[observation_date]])</f>
        <v>9</v>
      </c>
      <c r="E1035" t="str">
        <f t="shared" si="34"/>
        <v>No</v>
      </c>
    </row>
    <row r="1036" spans="1:5" hidden="1" x14ac:dyDescent="0.25">
      <c r="A1036" s="1">
        <v>45924</v>
      </c>
      <c r="B1036">
        <v>6637.97</v>
      </c>
      <c r="C1036" s="3">
        <f t="shared" si="33"/>
        <v>-2.8466618195801987E-3</v>
      </c>
      <c r="D1036">
        <f>MONTH(tbl_SP500_Clean[[#This Row],[observation_date]])</f>
        <v>9</v>
      </c>
      <c r="E1036" t="str">
        <f t="shared" si="34"/>
        <v>No</v>
      </c>
    </row>
    <row r="1037" spans="1:5" hidden="1" x14ac:dyDescent="0.25">
      <c r="A1037" s="1">
        <v>45925</v>
      </c>
      <c r="B1037">
        <v>6604.72</v>
      </c>
      <c r="C1037" s="3">
        <f t="shared" si="33"/>
        <v>-5.0090615052493454E-3</v>
      </c>
      <c r="D1037">
        <f>MONTH(tbl_SP500_Clean[[#This Row],[observation_date]])</f>
        <v>9</v>
      </c>
      <c r="E1037" t="str">
        <f t="shared" si="34"/>
        <v>No</v>
      </c>
    </row>
    <row r="1038" spans="1:5" hidden="1" x14ac:dyDescent="0.25">
      <c r="A1038" s="1">
        <v>45926</v>
      </c>
      <c r="B1038">
        <v>6643.7</v>
      </c>
      <c r="C1038" s="3">
        <f t="shared" si="33"/>
        <v>5.901839896316507E-3</v>
      </c>
      <c r="D1038">
        <f>MONTH(tbl_SP500_Clean[[#This Row],[observation_date]])</f>
        <v>9</v>
      </c>
      <c r="E1038" t="str">
        <f t="shared" si="34"/>
        <v>No</v>
      </c>
    </row>
    <row r="1039" spans="1:5" hidden="1" x14ac:dyDescent="0.25">
      <c r="A1039" s="1">
        <v>45929</v>
      </c>
      <c r="B1039">
        <v>6661.21</v>
      </c>
      <c r="C1039" s="3">
        <f t="shared" si="33"/>
        <v>2.6355795716242786E-3</v>
      </c>
      <c r="D1039">
        <f>MONTH(tbl_SP500_Clean[[#This Row],[observation_date]])</f>
        <v>9</v>
      </c>
      <c r="E1039" t="str">
        <f t="shared" si="34"/>
        <v>No</v>
      </c>
    </row>
    <row r="1040" spans="1:5" x14ac:dyDescent="0.25">
      <c r="A1040" s="1">
        <v>45930</v>
      </c>
      <c r="B1040">
        <v>6688.46</v>
      </c>
      <c r="C1040" s="3">
        <f t="shared" si="33"/>
        <v>4.0908483593821545E-3</v>
      </c>
      <c r="D1040">
        <f>MONTH(tbl_SP500_Clean[[#This Row],[observation_date]])</f>
        <v>9</v>
      </c>
      <c r="E1040" t="str">
        <f t="shared" si="34"/>
        <v>Yes</v>
      </c>
    </row>
    <row r="1041" spans="1:5" hidden="1" x14ac:dyDescent="0.25">
      <c r="A1041" s="1">
        <v>45931</v>
      </c>
      <c r="B1041">
        <v>6711.2</v>
      </c>
      <c r="C1041" s="3">
        <f t="shared" si="33"/>
        <v>3.3998857734067007E-3</v>
      </c>
      <c r="D1041">
        <f>MONTH(tbl_SP500_Clean[[#This Row],[observation_date]])</f>
        <v>10</v>
      </c>
      <c r="E1041" t="str">
        <f t="shared" si="34"/>
        <v>No</v>
      </c>
    </row>
    <row r="1042" spans="1:5" hidden="1" x14ac:dyDescent="0.25">
      <c r="A1042" s="1">
        <v>45932</v>
      </c>
      <c r="B1042">
        <v>6715.35</v>
      </c>
      <c r="C1042" s="3">
        <f t="shared" si="33"/>
        <v>6.1836929312202677E-4</v>
      </c>
      <c r="D1042">
        <f>MONTH(tbl_SP500_Clean[[#This Row],[observation_date]])</f>
        <v>10</v>
      </c>
      <c r="E1042" t="str">
        <f t="shared" si="34"/>
        <v>No</v>
      </c>
    </row>
    <row r="1043" spans="1:5" hidden="1" x14ac:dyDescent="0.25">
      <c r="A1043" s="1">
        <v>45933</v>
      </c>
      <c r="B1043">
        <v>6715.79</v>
      </c>
      <c r="C1043" s="3">
        <f t="shared" si="33"/>
        <v>6.5521529034167953E-5</v>
      </c>
      <c r="D1043">
        <f>MONTH(tbl_SP500_Clean[[#This Row],[observation_date]])</f>
        <v>10</v>
      </c>
      <c r="E1043" t="str">
        <f t="shared" si="34"/>
        <v>No</v>
      </c>
    </row>
    <row r="1044" spans="1:5" hidden="1" x14ac:dyDescent="0.25">
      <c r="A1044" s="1">
        <v>45936</v>
      </c>
      <c r="B1044">
        <v>6740.28</v>
      </c>
      <c r="C1044" s="3">
        <f t="shared" si="33"/>
        <v>3.6466298082578194E-3</v>
      </c>
      <c r="D1044">
        <f>MONTH(tbl_SP500_Clean[[#This Row],[observation_date]])</f>
        <v>10</v>
      </c>
      <c r="E1044" t="str">
        <f t="shared" si="34"/>
        <v>No</v>
      </c>
    </row>
    <row r="1045" spans="1:5" hidden="1" x14ac:dyDescent="0.25">
      <c r="A1045" s="1">
        <v>45937</v>
      </c>
      <c r="B1045">
        <v>6714.59</v>
      </c>
      <c r="C1045" s="3">
        <f t="shared" si="33"/>
        <v>-3.8114143626080225E-3</v>
      </c>
      <c r="D1045">
        <f>MONTH(tbl_SP500_Clean[[#This Row],[observation_date]])</f>
        <v>10</v>
      </c>
      <c r="E1045" t="str">
        <f t="shared" si="34"/>
        <v>No</v>
      </c>
    </row>
    <row r="1046" spans="1:5" hidden="1" x14ac:dyDescent="0.25">
      <c r="A1046" s="1">
        <v>45938</v>
      </c>
      <c r="B1046">
        <v>6753.72</v>
      </c>
      <c r="C1046" s="3">
        <f t="shared" si="33"/>
        <v>5.8276082381798601E-3</v>
      </c>
      <c r="D1046">
        <f>MONTH(tbl_SP500_Clean[[#This Row],[observation_date]])</f>
        <v>10</v>
      </c>
      <c r="E1046" t="str">
        <f t="shared" si="34"/>
        <v>No</v>
      </c>
    </row>
    <row r="1047" spans="1:5" hidden="1" x14ac:dyDescent="0.25">
      <c r="A1047" s="1">
        <v>45939</v>
      </c>
      <c r="B1047">
        <v>6735.11</v>
      </c>
      <c r="C1047" s="3">
        <f t="shared" si="33"/>
        <v>-2.755518440207853E-3</v>
      </c>
      <c r="D1047">
        <f>MONTH(tbl_SP500_Clean[[#This Row],[observation_date]])</f>
        <v>10</v>
      </c>
      <c r="E1047" t="str">
        <f t="shared" si="34"/>
        <v>No</v>
      </c>
    </row>
    <row r="1048" spans="1:5" hidden="1" x14ac:dyDescent="0.25">
      <c r="A1048" s="1">
        <v>45940</v>
      </c>
      <c r="B1048">
        <v>6552.51</v>
      </c>
      <c r="C1048" s="3">
        <f t="shared" si="33"/>
        <v>-2.7111658161485034E-2</v>
      </c>
      <c r="D1048">
        <f>MONTH(tbl_SP500_Clean[[#This Row],[observation_date]])</f>
        <v>10</v>
      </c>
      <c r="E1048" t="str">
        <f t="shared" si="34"/>
        <v>No</v>
      </c>
    </row>
    <row r="1049" spans="1:5" hidden="1" x14ac:dyDescent="0.25">
      <c r="A1049" s="1">
        <v>45943</v>
      </c>
      <c r="B1049">
        <v>6654.72</v>
      </c>
      <c r="C1049" s="3">
        <f t="shared" si="33"/>
        <v>1.5598602672868875E-2</v>
      </c>
      <c r="D1049">
        <f>MONTH(tbl_SP500_Clean[[#This Row],[observation_date]])</f>
        <v>10</v>
      </c>
      <c r="E1049" t="str">
        <f t="shared" si="34"/>
        <v>No</v>
      </c>
    </row>
    <row r="1050" spans="1:5" hidden="1" x14ac:dyDescent="0.25">
      <c r="A1050" s="1">
        <v>45944</v>
      </c>
      <c r="B1050">
        <v>6644.31</v>
      </c>
      <c r="C1050" s="3">
        <f t="shared" si="33"/>
        <v>-1.5643032313906301E-3</v>
      </c>
      <c r="D1050">
        <f>MONTH(tbl_SP500_Clean[[#This Row],[observation_date]])</f>
        <v>10</v>
      </c>
      <c r="E1050" t="str">
        <f t="shared" si="34"/>
        <v>No</v>
      </c>
    </row>
    <row r="1051" spans="1:5" hidden="1" x14ac:dyDescent="0.25">
      <c r="A1051" s="1">
        <v>45945</v>
      </c>
      <c r="B1051">
        <v>6671.06</v>
      </c>
      <c r="C1051" s="3">
        <f t="shared" si="33"/>
        <v>4.0260011950074576E-3</v>
      </c>
      <c r="D1051">
        <f>MONTH(tbl_SP500_Clean[[#This Row],[observation_date]])</f>
        <v>10</v>
      </c>
      <c r="E1051" t="str">
        <f t="shared" si="34"/>
        <v>No</v>
      </c>
    </row>
    <row r="1052" spans="1:5" hidden="1" x14ac:dyDescent="0.25">
      <c r="A1052" s="1">
        <v>45946</v>
      </c>
      <c r="B1052">
        <v>6629.07</v>
      </c>
      <c r="C1052" s="3">
        <f t="shared" si="33"/>
        <v>-6.2943520220175939E-3</v>
      </c>
      <c r="D1052">
        <f>MONTH(tbl_SP500_Clean[[#This Row],[observation_date]])</f>
        <v>10</v>
      </c>
      <c r="E1052" t="str">
        <f t="shared" si="34"/>
        <v>No</v>
      </c>
    </row>
    <row r="1053" spans="1:5" hidden="1" x14ac:dyDescent="0.25">
      <c r="A1053" s="1">
        <v>45947</v>
      </c>
      <c r="B1053">
        <v>6664.01</v>
      </c>
      <c r="C1053" s="3">
        <f t="shared" si="33"/>
        <v>5.2707242494045943E-3</v>
      </c>
      <c r="D1053">
        <f>MONTH(tbl_SP500_Clean[[#This Row],[observation_date]])</f>
        <v>10</v>
      </c>
      <c r="E1053" t="str">
        <f t="shared" si="34"/>
        <v>No</v>
      </c>
    </row>
    <row r="1054" spans="1:5" hidden="1" x14ac:dyDescent="0.25">
      <c r="A1054" s="1">
        <v>45950</v>
      </c>
      <c r="B1054">
        <v>6735.13</v>
      </c>
      <c r="C1054" s="3">
        <f t="shared" si="33"/>
        <v>1.0672252892777755E-2</v>
      </c>
      <c r="D1054">
        <f>MONTH(tbl_SP500_Clean[[#This Row],[observation_date]])</f>
        <v>10</v>
      </c>
      <c r="E1054" t="str">
        <f t="shared" si="34"/>
        <v>No</v>
      </c>
    </row>
    <row r="1055" spans="1:5" hidden="1" x14ac:dyDescent="0.25">
      <c r="A1055" s="1">
        <v>45951</v>
      </c>
      <c r="B1055">
        <v>6735.35</v>
      </c>
      <c r="C1055" s="3">
        <f t="shared" si="33"/>
        <v>3.2664551389543281E-5</v>
      </c>
      <c r="D1055">
        <f>MONTH(tbl_SP500_Clean[[#This Row],[observation_date]])</f>
        <v>10</v>
      </c>
      <c r="E1055" t="str">
        <f t="shared" si="34"/>
        <v>No</v>
      </c>
    </row>
    <row r="1056" spans="1:5" hidden="1" x14ac:dyDescent="0.25">
      <c r="A1056" s="1">
        <v>45952</v>
      </c>
      <c r="B1056">
        <v>6699.4</v>
      </c>
      <c r="C1056" s="3">
        <f t="shared" si="33"/>
        <v>-5.3375103001329889E-3</v>
      </c>
      <c r="D1056">
        <f>MONTH(tbl_SP500_Clean[[#This Row],[observation_date]])</f>
        <v>10</v>
      </c>
      <c r="E1056" t="str">
        <f t="shared" si="34"/>
        <v>No</v>
      </c>
    </row>
    <row r="1057" spans="1:5" hidden="1" x14ac:dyDescent="0.25">
      <c r="A1057" s="1">
        <v>45953</v>
      </c>
      <c r="B1057">
        <v>6738.44</v>
      </c>
      <c r="C1057" s="3">
        <f t="shared" si="33"/>
        <v>5.8273875272412401E-3</v>
      </c>
      <c r="D1057">
        <f>MONTH(tbl_SP500_Clean[[#This Row],[observation_date]])</f>
        <v>10</v>
      </c>
      <c r="E1057" t="str">
        <f t="shared" si="34"/>
        <v>No</v>
      </c>
    </row>
    <row r="1058" spans="1:5" hidden="1" x14ac:dyDescent="0.25">
      <c r="A1058" s="1">
        <v>45954</v>
      </c>
      <c r="B1058">
        <v>6791.69</v>
      </c>
      <c r="C1058" s="3">
        <f t="shared" si="33"/>
        <v>7.9024225191587378E-3</v>
      </c>
      <c r="D1058">
        <f>MONTH(tbl_SP500_Clean[[#This Row],[observation_date]])</f>
        <v>10</v>
      </c>
      <c r="E1058" t="str">
        <f t="shared" si="34"/>
        <v>No</v>
      </c>
    </row>
    <row r="1059" spans="1:5" hidden="1" x14ac:dyDescent="0.25">
      <c r="A1059" s="1">
        <v>45957</v>
      </c>
      <c r="B1059">
        <v>6875.16</v>
      </c>
      <c r="C1059" s="3">
        <f t="shared" si="33"/>
        <v>1.2290019126314696E-2</v>
      </c>
      <c r="D1059">
        <f>MONTH(tbl_SP500_Clean[[#This Row],[observation_date]])</f>
        <v>10</v>
      </c>
      <c r="E1059" t="str">
        <f t="shared" si="34"/>
        <v>No</v>
      </c>
    </row>
    <row r="1060" spans="1:5" hidden="1" x14ac:dyDescent="0.25">
      <c r="A1060" s="1">
        <v>45958</v>
      </c>
      <c r="B1060">
        <v>6890.89</v>
      </c>
      <c r="C1060" s="3">
        <f t="shared" si="33"/>
        <v>2.287946753239266E-3</v>
      </c>
      <c r="D1060">
        <f>MONTH(tbl_SP500_Clean[[#This Row],[observation_date]])</f>
        <v>10</v>
      </c>
      <c r="E1060" t="str">
        <f t="shared" si="34"/>
        <v>No</v>
      </c>
    </row>
    <row r="1061" spans="1:5" hidden="1" x14ac:dyDescent="0.25">
      <c r="A1061" s="1">
        <v>45959</v>
      </c>
      <c r="B1061">
        <v>6890.59</v>
      </c>
      <c r="C1061" s="3">
        <f t="shared" si="33"/>
        <v>-4.3535740666326396E-5</v>
      </c>
      <c r="D1061">
        <f>MONTH(tbl_SP500_Clean[[#This Row],[observation_date]])</f>
        <v>10</v>
      </c>
      <c r="E1061" t="str">
        <f t="shared" si="34"/>
        <v>No</v>
      </c>
    </row>
    <row r="1062" spans="1:5" hidden="1" x14ac:dyDescent="0.25">
      <c r="A1062" s="1">
        <v>45960</v>
      </c>
      <c r="B1062">
        <v>6822.34</v>
      </c>
      <c r="C1062" s="3">
        <f t="shared" si="33"/>
        <v>-9.9048122149191873E-3</v>
      </c>
      <c r="D1062">
        <f>MONTH(tbl_SP500_Clean[[#This Row],[observation_date]])</f>
        <v>10</v>
      </c>
      <c r="E1062" t="str">
        <f t="shared" si="34"/>
        <v>No</v>
      </c>
    </row>
    <row r="1063" spans="1:5" x14ac:dyDescent="0.25">
      <c r="A1063" s="1">
        <v>45961</v>
      </c>
      <c r="B1063">
        <v>6840.2</v>
      </c>
      <c r="C1063" s="3">
        <f t="shared" si="33"/>
        <v>2.6178701149458502E-3</v>
      </c>
      <c r="D1063">
        <f>MONTH(tbl_SP500_Clean[[#This Row],[observation_date]])</f>
        <v>10</v>
      </c>
      <c r="E1063" t="str">
        <f t="shared" si="34"/>
        <v>Yes</v>
      </c>
    </row>
    <row r="1064" spans="1:5" hidden="1" x14ac:dyDescent="0.25">
      <c r="A1064" s="1">
        <v>45964</v>
      </c>
      <c r="B1064">
        <v>6851.97</v>
      </c>
      <c r="C1064" s="3">
        <f t="shared" si="33"/>
        <v>1.7207099207626148E-3</v>
      </c>
      <c r="D1064">
        <f>MONTH(tbl_SP500_Clean[[#This Row],[observation_date]])</f>
        <v>11</v>
      </c>
      <c r="E1064" t="str">
        <f t="shared" si="34"/>
        <v>No</v>
      </c>
    </row>
    <row r="1065" spans="1:5" hidden="1" x14ac:dyDescent="0.25">
      <c r="A1065" s="1">
        <v>45965</v>
      </c>
      <c r="B1065">
        <v>6771.55</v>
      </c>
      <c r="C1065" s="3">
        <f t="shared" si="33"/>
        <v>-1.1736770592982759E-2</v>
      </c>
      <c r="D1065">
        <f>MONTH(tbl_SP500_Clean[[#This Row],[observation_date]])</f>
        <v>11</v>
      </c>
      <c r="E1065" t="str">
        <f t="shared" si="34"/>
        <v>No</v>
      </c>
    </row>
    <row r="1066" spans="1:5" hidden="1" x14ac:dyDescent="0.25">
      <c r="A1066" s="1">
        <v>45966</v>
      </c>
      <c r="B1066">
        <v>6796.29</v>
      </c>
      <c r="C1066" s="3">
        <f t="shared" si="33"/>
        <v>3.6535209811638077E-3</v>
      </c>
      <c r="D1066">
        <f>MONTH(tbl_SP500_Clean[[#This Row],[observation_date]])</f>
        <v>11</v>
      </c>
      <c r="E1066" t="str">
        <f t="shared" si="34"/>
        <v>No</v>
      </c>
    </row>
    <row r="1067" spans="1:5" hidden="1" x14ac:dyDescent="0.25">
      <c r="A1067" s="1">
        <v>45967</v>
      </c>
      <c r="B1067">
        <v>6720.32</v>
      </c>
      <c r="C1067" s="3">
        <f t="shared" si="33"/>
        <v>-1.1178157494750851E-2</v>
      </c>
      <c r="D1067">
        <f>MONTH(tbl_SP500_Clean[[#This Row],[observation_date]])</f>
        <v>11</v>
      </c>
      <c r="E1067" t="str">
        <f t="shared" si="34"/>
        <v>No</v>
      </c>
    </row>
    <row r="1068" spans="1:5" hidden="1" x14ac:dyDescent="0.25">
      <c r="A1068" s="1">
        <v>45968</v>
      </c>
      <c r="B1068">
        <v>6728.8</v>
      </c>
      <c r="C1068" s="3">
        <f t="shared" si="33"/>
        <v>1.2618446740632102E-3</v>
      </c>
      <c r="D1068">
        <f>MONTH(tbl_SP500_Clean[[#This Row],[observation_date]])</f>
        <v>11</v>
      </c>
      <c r="E1068" t="str">
        <f t="shared" si="34"/>
        <v>No</v>
      </c>
    </row>
    <row r="1069" spans="1:5" hidden="1" x14ac:dyDescent="0.25">
      <c r="A1069" s="1">
        <v>45971</v>
      </c>
      <c r="B1069">
        <v>6832.43</v>
      </c>
      <c r="C1069" s="3">
        <f t="shared" si="33"/>
        <v>1.5400963024610645E-2</v>
      </c>
      <c r="D1069">
        <f>MONTH(tbl_SP500_Clean[[#This Row],[observation_date]])</f>
        <v>11</v>
      </c>
      <c r="E1069" t="str">
        <f t="shared" si="34"/>
        <v>No</v>
      </c>
    </row>
    <row r="1070" spans="1:5" hidden="1" x14ac:dyDescent="0.25">
      <c r="A1070" s="1">
        <v>45972</v>
      </c>
      <c r="B1070">
        <v>6846.61</v>
      </c>
      <c r="C1070" s="3">
        <f t="shared" si="33"/>
        <v>2.0753963084875191E-3</v>
      </c>
      <c r="D1070">
        <f>MONTH(tbl_SP500_Clean[[#This Row],[observation_date]])</f>
        <v>11</v>
      </c>
      <c r="E1070" t="str">
        <f t="shared" si="34"/>
        <v>No</v>
      </c>
    </row>
    <row r="1071" spans="1:5" hidden="1" x14ac:dyDescent="0.25">
      <c r="A1071" s="1">
        <v>45973</v>
      </c>
      <c r="B1071">
        <v>6850.92</v>
      </c>
      <c r="C1071" s="3">
        <f t="shared" si="33"/>
        <v>6.2950861813370414E-4</v>
      </c>
      <c r="D1071">
        <f>MONTH(tbl_SP500_Clean[[#This Row],[observation_date]])</f>
        <v>11</v>
      </c>
      <c r="E1071" t="str">
        <f t="shared" si="34"/>
        <v>No</v>
      </c>
    </row>
    <row r="1072" spans="1:5" hidden="1" x14ac:dyDescent="0.25">
      <c r="A1072" s="1">
        <v>45974</v>
      </c>
      <c r="B1072">
        <v>6737.49</v>
      </c>
      <c r="C1072" s="3">
        <f t="shared" si="33"/>
        <v>-1.6556900387101336E-2</v>
      </c>
      <c r="D1072">
        <f>MONTH(tbl_SP500_Clean[[#This Row],[observation_date]])</f>
        <v>11</v>
      </c>
      <c r="E1072" t="str">
        <f t="shared" si="34"/>
        <v>No</v>
      </c>
    </row>
    <row r="1073" spans="1:5" hidden="1" x14ac:dyDescent="0.25">
      <c r="A1073" s="1">
        <v>45975</v>
      </c>
      <c r="B1073">
        <v>6734.11</v>
      </c>
      <c r="C1073" s="3">
        <f t="shared" si="33"/>
        <v>-5.0167050340707141E-4</v>
      </c>
      <c r="D1073">
        <f>MONTH(tbl_SP500_Clean[[#This Row],[observation_date]])</f>
        <v>11</v>
      </c>
      <c r="E1073" t="str">
        <f t="shared" si="34"/>
        <v>No</v>
      </c>
    </row>
    <row r="1074" spans="1:5" hidden="1" x14ac:dyDescent="0.25">
      <c r="A1074" s="1">
        <v>45978</v>
      </c>
      <c r="B1074">
        <v>6672.41</v>
      </c>
      <c r="C1074" s="3">
        <f t="shared" si="33"/>
        <v>-9.1623094959838534E-3</v>
      </c>
      <c r="D1074">
        <f>MONTH(tbl_SP500_Clean[[#This Row],[observation_date]])</f>
        <v>11</v>
      </c>
      <c r="E1074" t="str">
        <f t="shared" si="34"/>
        <v>No</v>
      </c>
    </row>
    <row r="1075" spans="1:5" hidden="1" x14ac:dyDescent="0.25">
      <c r="A1075" s="1">
        <v>45979</v>
      </c>
      <c r="B1075">
        <v>6617.32</v>
      </c>
      <c r="C1075" s="3">
        <f t="shared" si="33"/>
        <v>-8.2563871224939928E-3</v>
      </c>
      <c r="D1075">
        <f>MONTH(tbl_SP500_Clean[[#This Row],[observation_date]])</f>
        <v>11</v>
      </c>
      <c r="E1075" t="str">
        <f t="shared" si="34"/>
        <v>No</v>
      </c>
    </row>
    <row r="1076" spans="1:5" hidden="1" x14ac:dyDescent="0.25">
      <c r="A1076" s="1">
        <v>45980</v>
      </c>
      <c r="B1076">
        <v>6642.16</v>
      </c>
      <c r="C1076" s="3">
        <f t="shared" si="33"/>
        <v>3.753785520422187E-3</v>
      </c>
      <c r="D1076">
        <f>MONTH(tbl_SP500_Clean[[#This Row],[observation_date]])</f>
        <v>11</v>
      </c>
      <c r="E1076" t="str">
        <f t="shared" si="34"/>
        <v>No</v>
      </c>
    </row>
    <row r="1077" spans="1:5" hidden="1" x14ac:dyDescent="0.25">
      <c r="A1077" s="1">
        <v>45981</v>
      </c>
      <c r="B1077">
        <v>6538.76</v>
      </c>
      <c r="C1077" s="3">
        <f t="shared" si="33"/>
        <v>-1.5567225119539372E-2</v>
      </c>
      <c r="D1077">
        <f>MONTH(tbl_SP500_Clean[[#This Row],[observation_date]])</f>
        <v>11</v>
      </c>
      <c r="E1077" t="str">
        <f t="shared" si="34"/>
        <v>No</v>
      </c>
    </row>
    <row r="1078" spans="1:5" hidden="1" x14ac:dyDescent="0.25">
      <c r="A1078" s="1">
        <v>45982</v>
      </c>
      <c r="B1078">
        <v>6602.99</v>
      </c>
      <c r="C1078" s="3">
        <f t="shared" si="33"/>
        <v>9.8229633753188009E-3</v>
      </c>
      <c r="D1078">
        <f>MONTH(tbl_SP500_Clean[[#This Row],[observation_date]])</f>
        <v>11</v>
      </c>
      <c r="E1078" t="str">
        <f t="shared" si="34"/>
        <v>No</v>
      </c>
    </row>
    <row r="1079" spans="1:5" hidden="1" x14ac:dyDescent="0.25">
      <c r="A1079" s="1">
        <v>45985</v>
      </c>
      <c r="B1079">
        <v>6705.12</v>
      </c>
      <c r="C1079" s="3">
        <f t="shared" si="33"/>
        <v>1.546723529794837E-2</v>
      </c>
      <c r="D1079">
        <f>MONTH(tbl_SP500_Clean[[#This Row],[observation_date]])</f>
        <v>11</v>
      </c>
      <c r="E1079" t="str">
        <f t="shared" si="34"/>
        <v>No</v>
      </c>
    </row>
    <row r="1080" spans="1:5" hidden="1" x14ac:dyDescent="0.25">
      <c r="A1080" s="1">
        <v>45986</v>
      </c>
      <c r="B1080">
        <v>6765.88</v>
      </c>
      <c r="C1080" s="3">
        <f t="shared" si="33"/>
        <v>9.0617319302264861E-3</v>
      </c>
      <c r="D1080">
        <f>MONTH(tbl_SP500_Clean[[#This Row],[observation_date]])</f>
        <v>11</v>
      </c>
      <c r="E1080" t="str">
        <f t="shared" si="34"/>
        <v>No</v>
      </c>
    </row>
    <row r="1081" spans="1:5" hidden="1" x14ac:dyDescent="0.25">
      <c r="A1081" s="1">
        <v>45987</v>
      </c>
      <c r="B1081">
        <v>6812.61</v>
      </c>
      <c r="C1081" s="3">
        <f t="shared" si="33"/>
        <v>6.9067142781130556E-3</v>
      </c>
      <c r="D1081">
        <f>MONTH(tbl_SP500_Clean[[#This Row],[observation_date]])</f>
        <v>11</v>
      </c>
      <c r="E1081" t="str">
        <f t="shared" si="34"/>
        <v>No</v>
      </c>
    </row>
    <row r="1082" spans="1:5" hidden="1" x14ac:dyDescent="0.25">
      <c r="A1082" s="1">
        <v>45988</v>
      </c>
      <c r="C1082">
        <f t="shared" si="33"/>
        <v>-1</v>
      </c>
      <c r="D1082">
        <f>MONTH(tbl_SP500_Clean[[#This Row],[observation_date]])</f>
        <v>11</v>
      </c>
      <c r="E1082" t="str">
        <f t="shared" si="34"/>
        <v>No</v>
      </c>
    </row>
    <row r="1083" spans="1:5" x14ac:dyDescent="0.25">
      <c r="A1083" s="1">
        <v>45989</v>
      </c>
      <c r="B1083">
        <v>6849.09</v>
      </c>
      <c r="C1083" s="3" t="e">
        <f t="shared" si="33"/>
        <v>#DIV/0!</v>
      </c>
      <c r="D1083">
        <f>MONTH(tbl_SP500_Clean[[#This Row],[observation_date]])</f>
        <v>11</v>
      </c>
      <c r="E1083" t="str">
        <f t="shared" si="34"/>
        <v>Yes</v>
      </c>
    </row>
    <row r="1084" spans="1:5" hidden="1" x14ac:dyDescent="0.25">
      <c r="A1084" s="1">
        <v>45992</v>
      </c>
      <c r="B1084">
        <v>6812.63</v>
      </c>
      <c r="C1084" s="3">
        <f t="shared" si="33"/>
        <v>-5.3233349247856334E-3</v>
      </c>
      <c r="D1084">
        <f>MONTH(tbl_SP500_Clean[[#This Row],[observation_date]])</f>
        <v>12</v>
      </c>
      <c r="E1084" t="str">
        <f t="shared" si="34"/>
        <v>No</v>
      </c>
    </row>
    <row r="1085" spans="1:5" hidden="1" x14ac:dyDescent="0.25">
      <c r="A1085" s="1">
        <v>45993</v>
      </c>
      <c r="B1085">
        <v>6829.37</v>
      </c>
      <c r="C1085" s="3">
        <f t="shared" si="33"/>
        <v>2.4572008167183276E-3</v>
      </c>
      <c r="D1085">
        <f>MONTH(tbl_SP500_Clean[[#This Row],[observation_date]])</f>
        <v>12</v>
      </c>
      <c r="E1085" t="str">
        <f t="shared" si="34"/>
        <v>No</v>
      </c>
    </row>
    <row r="1086" spans="1:5" hidden="1" x14ac:dyDescent="0.25">
      <c r="A1086" s="1">
        <v>45994</v>
      </c>
      <c r="B1086">
        <v>6849.72</v>
      </c>
      <c r="C1086" s="3">
        <f t="shared" si="33"/>
        <v>2.9797770511775412E-3</v>
      </c>
      <c r="D1086">
        <f>MONTH(tbl_SP500_Clean[[#This Row],[observation_date]])</f>
        <v>12</v>
      </c>
      <c r="E1086" t="str">
        <f t="shared" si="34"/>
        <v>No</v>
      </c>
    </row>
    <row r="1087" spans="1:5" hidden="1" x14ac:dyDescent="0.25">
      <c r="A1087" s="1">
        <v>45995</v>
      </c>
      <c r="B1087">
        <v>6857.12</v>
      </c>
      <c r="C1087" s="3">
        <f t="shared" si="33"/>
        <v>1.08033613052791E-3</v>
      </c>
      <c r="D1087">
        <f>MONTH(tbl_SP500_Clean[[#This Row],[observation_date]])</f>
        <v>12</v>
      </c>
      <c r="E1087" t="str">
        <f t="shared" si="34"/>
        <v>No</v>
      </c>
    </row>
    <row r="1088" spans="1:5" hidden="1" x14ac:dyDescent="0.25">
      <c r="A1088" s="1">
        <v>45996</v>
      </c>
      <c r="B1088">
        <v>6870.4</v>
      </c>
      <c r="C1088" s="3">
        <f t="shared" si="33"/>
        <v>1.9366731222437037E-3</v>
      </c>
      <c r="D1088">
        <f>MONTH(tbl_SP500_Clean[[#This Row],[observation_date]])</f>
        <v>12</v>
      </c>
      <c r="E1088" t="str">
        <f t="shared" si="34"/>
        <v>No</v>
      </c>
    </row>
    <row r="1089" spans="1:5" hidden="1" x14ac:dyDescent="0.25">
      <c r="A1089" s="1">
        <v>45999</v>
      </c>
      <c r="B1089">
        <v>6846.51</v>
      </c>
      <c r="C1089" s="3">
        <f t="shared" si="33"/>
        <v>-3.4772356776897151E-3</v>
      </c>
      <c r="D1089">
        <f>MONTH(tbl_SP500_Clean[[#This Row],[observation_date]])</f>
        <v>12</v>
      </c>
      <c r="E1089" t="str">
        <f t="shared" si="34"/>
        <v>No</v>
      </c>
    </row>
    <row r="1090" spans="1:5" hidden="1" x14ac:dyDescent="0.25">
      <c r="A1090" s="1">
        <v>46000</v>
      </c>
      <c r="B1090">
        <v>6840.51</v>
      </c>
      <c r="C1090" s="3">
        <f t="shared" ref="C1090:C1153" si="35">(B1090-B1089)/B1089</f>
        <v>-8.7635890402555454E-4</v>
      </c>
      <c r="D1090">
        <f>MONTH(tbl_SP500_Clean[[#This Row],[observation_date]])</f>
        <v>12</v>
      </c>
      <c r="E1090" t="str">
        <f t="shared" ref="E1090:E1153" si="36">IF(D1090&lt;&gt;D1091,"Yes","No")</f>
        <v>No</v>
      </c>
    </row>
    <row r="1091" spans="1:5" hidden="1" x14ac:dyDescent="0.25">
      <c r="A1091" s="1">
        <v>46001</v>
      </c>
      <c r="B1091">
        <v>6886.68</v>
      </c>
      <c r="C1091" s="3">
        <f t="shared" si="35"/>
        <v>6.749496748049498E-3</v>
      </c>
      <c r="D1091">
        <f>MONTH(tbl_SP500_Clean[[#This Row],[observation_date]])</f>
        <v>12</v>
      </c>
      <c r="E1091" t="str">
        <f t="shared" si="36"/>
        <v>No</v>
      </c>
    </row>
    <row r="1092" spans="1:5" hidden="1" x14ac:dyDescent="0.25">
      <c r="A1092" s="1">
        <v>46002</v>
      </c>
      <c r="B1092">
        <v>6901</v>
      </c>
      <c r="C1092" s="3">
        <f t="shared" si="35"/>
        <v>2.0793764194066964E-3</v>
      </c>
      <c r="D1092">
        <f>MONTH(tbl_SP500_Clean[[#This Row],[observation_date]])</f>
        <v>12</v>
      </c>
      <c r="E1092" t="str">
        <f t="shared" si="36"/>
        <v>No</v>
      </c>
    </row>
    <row r="1093" spans="1:5" hidden="1" x14ac:dyDescent="0.25">
      <c r="A1093" s="1">
        <v>46003</v>
      </c>
      <c r="B1093">
        <v>6827.41</v>
      </c>
      <c r="C1093" s="3">
        <f t="shared" si="35"/>
        <v>-1.0663671931604137E-2</v>
      </c>
      <c r="D1093">
        <f>MONTH(tbl_SP500_Clean[[#This Row],[observation_date]])</f>
        <v>12</v>
      </c>
      <c r="E1093" t="str">
        <f t="shared" si="36"/>
        <v>No</v>
      </c>
    </row>
    <row r="1094" spans="1:5" hidden="1" x14ac:dyDescent="0.25">
      <c r="A1094" s="1">
        <v>46006</v>
      </c>
      <c r="B1094">
        <v>6816.51</v>
      </c>
      <c r="C1094" s="3">
        <f t="shared" si="35"/>
        <v>-1.5965058492165604E-3</v>
      </c>
      <c r="D1094">
        <f>MONTH(tbl_SP500_Clean[[#This Row],[observation_date]])</f>
        <v>12</v>
      </c>
      <c r="E1094" t="str">
        <f t="shared" si="36"/>
        <v>No</v>
      </c>
    </row>
    <row r="1095" spans="1:5" hidden="1" x14ac:dyDescent="0.25">
      <c r="A1095" s="1">
        <v>46007</v>
      </c>
      <c r="B1095">
        <v>6800.26</v>
      </c>
      <c r="C1095" s="3">
        <f t="shared" si="35"/>
        <v>-2.3839178699950562E-3</v>
      </c>
      <c r="D1095">
        <f>MONTH(tbl_SP500_Clean[[#This Row],[observation_date]])</f>
        <v>12</v>
      </c>
      <c r="E1095" t="str">
        <f t="shared" si="36"/>
        <v>No</v>
      </c>
    </row>
    <row r="1096" spans="1:5" hidden="1" x14ac:dyDescent="0.25">
      <c r="A1096" s="1">
        <v>46008</v>
      </c>
      <c r="B1096">
        <v>6721.43</v>
      </c>
      <c r="C1096" s="3">
        <f t="shared" si="35"/>
        <v>-1.1592203827500702E-2</v>
      </c>
      <c r="D1096">
        <f>MONTH(tbl_SP500_Clean[[#This Row],[observation_date]])</f>
        <v>12</v>
      </c>
      <c r="E1096" t="str">
        <f t="shared" si="36"/>
        <v>No</v>
      </c>
    </row>
    <row r="1097" spans="1:5" hidden="1" x14ac:dyDescent="0.25">
      <c r="A1097" s="1">
        <v>46009</v>
      </c>
      <c r="B1097">
        <v>6774.76</v>
      </c>
      <c r="C1097" s="3">
        <f t="shared" si="35"/>
        <v>7.9343234996124227E-3</v>
      </c>
      <c r="D1097">
        <f>MONTH(tbl_SP500_Clean[[#This Row],[observation_date]])</f>
        <v>12</v>
      </c>
      <c r="E1097" t="str">
        <f t="shared" si="36"/>
        <v>No</v>
      </c>
    </row>
    <row r="1098" spans="1:5" hidden="1" x14ac:dyDescent="0.25">
      <c r="A1098" s="1">
        <v>46010</v>
      </c>
      <c r="B1098">
        <v>6834.5</v>
      </c>
      <c r="C1098" s="3">
        <f t="shared" si="35"/>
        <v>8.818024549947125E-3</v>
      </c>
      <c r="D1098">
        <f>MONTH(tbl_SP500_Clean[[#This Row],[observation_date]])</f>
        <v>12</v>
      </c>
      <c r="E1098" t="str">
        <f t="shared" si="36"/>
        <v>No</v>
      </c>
    </row>
    <row r="1099" spans="1:5" hidden="1" x14ac:dyDescent="0.25">
      <c r="A1099" s="1">
        <v>46013</v>
      </c>
      <c r="B1099">
        <v>6878.49</v>
      </c>
      <c r="C1099" s="3">
        <f t="shared" si="35"/>
        <v>6.4364620674518666E-3</v>
      </c>
      <c r="D1099">
        <f>MONTH(tbl_SP500_Clean[[#This Row],[observation_date]])</f>
        <v>12</v>
      </c>
      <c r="E1099" t="str">
        <f t="shared" si="36"/>
        <v>No</v>
      </c>
    </row>
    <row r="1100" spans="1:5" hidden="1" x14ac:dyDescent="0.25">
      <c r="A1100" s="1">
        <v>46014</v>
      </c>
      <c r="B1100">
        <v>6909.79</v>
      </c>
      <c r="C1100" s="3">
        <f t="shared" si="35"/>
        <v>4.550417315428267E-3</v>
      </c>
      <c r="D1100">
        <f>MONTH(tbl_SP500_Clean[[#This Row],[observation_date]])</f>
        <v>12</v>
      </c>
      <c r="E1100" t="str">
        <f t="shared" si="36"/>
        <v>No</v>
      </c>
    </row>
    <row r="1101" spans="1:5" hidden="1" x14ac:dyDescent="0.25">
      <c r="A1101" s="1">
        <v>46015</v>
      </c>
      <c r="B1101">
        <v>6932.05</v>
      </c>
      <c r="C1101" s="3">
        <f t="shared" si="35"/>
        <v>3.2215161386959976E-3</v>
      </c>
      <c r="D1101">
        <f>MONTH(tbl_SP500_Clean[[#This Row],[observation_date]])</f>
        <v>12</v>
      </c>
      <c r="E1101" t="str">
        <f t="shared" si="36"/>
        <v>No</v>
      </c>
    </row>
    <row r="1102" spans="1:5" hidden="1" x14ac:dyDescent="0.25">
      <c r="A1102" s="1">
        <v>46016</v>
      </c>
      <c r="C1102">
        <f t="shared" si="35"/>
        <v>-1</v>
      </c>
      <c r="D1102">
        <f>MONTH(tbl_SP500_Clean[[#This Row],[observation_date]])</f>
        <v>12</v>
      </c>
      <c r="E1102" t="str">
        <f t="shared" si="36"/>
        <v>No</v>
      </c>
    </row>
    <row r="1103" spans="1:5" hidden="1" x14ac:dyDescent="0.25">
      <c r="A1103" s="1">
        <v>46017</v>
      </c>
      <c r="B1103">
        <v>6929.94</v>
      </c>
      <c r="C1103" s="3" t="e">
        <f t="shared" si="35"/>
        <v>#DIV/0!</v>
      </c>
      <c r="D1103">
        <f>MONTH(tbl_SP500_Clean[[#This Row],[observation_date]])</f>
        <v>12</v>
      </c>
      <c r="E1103" t="str">
        <f t="shared" si="36"/>
        <v>No</v>
      </c>
    </row>
    <row r="1104" spans="1:5" hidden="1" x14ac:dyDescent="0.25">
      <c r="A1104" s="1">
        <v>46020</v>
      </c>
      <c r="B1104">
        <v>6905.74</v>
      </c>
      <c r="C1104" s="3">
        <f t="shared" si="35"/>
        <v>-3.492093726641186E-3</v>
      </c>
      <c r="D1104">
        <f>MONTH(tbl_SP500_Clean[[#This Row],[observation_date]])</f>
        <v>12</v>
      </c>
      <c r="E1104" t="str">
        <f t="shared" si="36"/>
        <v>No</v>
      </c>
    </row>
    <row r="1105" spans="1:5" hidden="1" x14ac:dyDescent="0.25">
      <c r="A1105" s="1">
        <v>46021</v>
      </c>
      <c r="B1105">
        <v>6896.24</v>
      </c>
      <c r="C1105" s="3">
        <f t="shared" si="35"/>
        <v>-1.3756671985913169E-3</v>
      </c>
      <c r="D1105">
        <f>MONTH(tbl_SP500_Clean[[#This Row],[observation_date]])</f>
        <v>12</v>
      </c>
      <c r="E1105" t="str">
        <f t="shared" si="36"/>
        <v>No</v>
      </c>
    </row>
    <row r="1106" spans="1:5" x14ac:dyDescent="0.25">
      <c r="A1106" s="1">
        <v>46022</v>
      </c>
      <c r="B1106">
        <v>6845.5</v>
      </c>
      <c r="C1106" s="3">
        <f t="shared" si="35"/>
        <v>-7.3576325649919059E-3</v>
      </c>
      <c r="D1106">
        <f>MONTH(tbl_SP500_Clean[[#This Row],[observation_date]])</f>
        <v>12</v>
      </c>
      <c r="E1106" t="str">
        <f t="shared" si="36"/>
        <v>Yes</v>
      </c>
    </row>
    <row r="1107" spans="1:5" hidden="1" x14ac:dyDescent="0.25">
      <c r="A1107" s="1">
        <v>46023</v>
      </c>
      <c r="C1107">
        <f t="shared" si="35"/>
        <v>-1</v>
      </c>
      <c r="D1107">
        <f>MONTH(tbl_SP500_Clean[[#This Row],[observation_date]])</f>
        <v>1</v>
      </c>
      <c r="E1107" t="str">
        <f t="shared" si="36"/>
        <v>No</v>
      </c>
    </row>
    <row r="1108" spans="1:5" hidden="1" x14ac:dyDescent="0.25">
      <c r="A1108" s="1">
        <v>46024</v>
      </c>
      <c r="B1108">
        <v>6858.47</v>
      </c>
      <c r="C1108" s="3" t="e">
        <f t="shared" si="35"/>
        <v>#DIV/0!</v>
      </c>
      <c r="D1108">
        <f>MONTH(tbl_SP500_Clean[[#This Row],[observation_date]])</f>
        <v>1</v>
      </c>
      <c r="E1108" t="str">
        <f t="shared" si="36"/>
        <v>No</v>
      </c>
    </row>
    <row r="1109" spans="1:5" hidden="1" x14ac:dyDescent="0.25">
      <c r="A1109" s="1">
        <v>46027</v>
      </c>
      <c r="B1109">
        <v>6902.05</v>
      </c>
      <c r="C1109" s="3">
        <f t="shared" si="35"/>
        <v>6.3541868667501538E-3</v>
      </c>
      <c r="D1109">
        <f>MONTH(tbl_SP500_Clean[[#This Row],[observation_date]])</f>
        <v>1</v>
      </c>
      <c r="E1109" t="str">
        <f t="shared" si="36"/>
        <v>No</v>
      </c>
    </row>
    <row r="1110" spans="1:5" hidden="1" x14ac:dyDescent="0.25">
      <c r="A1110" s="1">
        <v>46028</v>
      </c>
      <c r="B1110">
        <v>6944.82</v>
      </c>
      <c r="C1110" s="3">
        <f t="shared" si="35"/>
        <v>6.1967096732129618E-3</v>
      </c>
      <c r="D1110">
        <f>MONTH(tbl_SP500_Clean[[#This Row],[observation_date]])</f>
        <v>1</v>
      </c>
      <c r="E1110" t="str">
        <f t="shared" si="36"/>
        <v>No</v>
      </c>
    </row>
    <row r="1111" spans="1:5" hidden="1" x14ac:dyDescent="0.25">
      <c r="A1111" s="1">
        <v>46029</v>
      </c>
      <c r="B1111">
        <v>6920.93</v>
      </c>
      <c r="C1111" s="3">
        <f t="shared" si="35"/>
        <v>-3.4399739662078236E-3</v>
      </c>
      <c r="D1111">
        <f>MONTH(tbl_SP500_Clean[[#This Row],[observation_date]])</f>
        <v>1</v>
      </c>
      <c r="E1111" t="str">
        <f t="shared" si="36"/>
        <v>No</v>
      </c>
    </row>
    <row r="1112" spans="1:5" hidden="1" x14ac:dyDescent="0.25">
      <c r="A1112" s="1">
        <v>46030</v>
      </c>
      <c r="B1112">
        <v>6921.46</v>
      </c>
      <c r="C1112" s="3">
        <f t="shared" si="35"/>
        <v>7.6579303648461301E-5</v>
      </c>
      <c r="D1112">
        <f>MONTH(tbl_SP500_Clean[[#This Row],[observation_date]])</f>
        <v>1</v>
      </c>
      <c r="E1112" t="str">
        <f t="shared" si="36"/>
        <v>No</v>
      </c>
    </row>
    <row r="1113" spans="1:5" hidden="1" x14ac:dyDescent="0.25">
      <c r="A1113" s="1">
        <v>46031</v>
      </c>
      <c r="B1113">
        <v>6966.28</v>
      </c>
      <c r="C1113" s="3">
        <f t="shared" si="35"/>
        <v>6.4755123918941535E-3</v>
      </c>
      <c r="D1113">
        <f>MONTH(tbl_SP500_Clean[[#This Row],[observation_date]])</f>
        <v>1</v>
      </c>
      <c r="E1113" t="str">
        <f t="shared" si="36"/>
        <v>No</v>
      </c>
    </row>
    <row r="1114" spans="1:5" hidden="1" x14ac:dyDescent="0.25">
      <c r="A1114" s="1">
        <v>46034</v>
      </c>
      <c r="B1114">
        <v>6977.27</v>
      </c>
      <c r="C1114" s="3">
        <f t="shared" si="35"/>
        <v>1.5775995222702349E-3</v>
      </c>
      <c r="D1114">
        <f>MONTH(tbl_SP500_Clean[[#This Row],[observation_date]])</f>
        <v>1</v>
      </c>
      <c r="E1114" t="str">
        <f t="shared" si="36"/>
        <v>No</v>
      </c>
    </row>
    <row r="1115" spans="1:5" hidden="1" x14ac:dyDescent="0.25">
      <c r="A1115" s="1">
        <v>46035</v>
      </c>
      <c r="B1115">
        <v>6963.74</v>
      </c>
      <c r="C1115" s="3">
        <f t="shared" si="35"/>
        <v>-1.9391538524380816E-3</v>
      </c>
      <c r="D1115">
        <f>MONTH(tbl_SP500_Clean[[#This Row],[observation_date]])</f>
        <v>1</v>
      </c>
      <c r="E1115" t="str">
        <f t="shared" si="36"/>
        <v>No</v>
      </c>
    </row>
    <row r="1116" spans="1:5" hidden="1" x14ac:dyDescent="0.25">
      <c r="A1116" s="1">
        <v>46036</v>
      </c>
      <c r="B1116">
        <v>6926.6</v>
      </c>
      <c r="C1116" s="3">
        <f t="shared" si="35"/>
        <v>-5.3333409920530376E-3</v>
      </c>
      <c r="D1116">
        <f>MONTH(tbl_SP500_Clean[[#This Row],[observation_date]])</f>
        <v>1</v>
      </c>
      <c r="E1116" t="str">
        <f t="shared" si="36"/>
        <v>No</v>
      </c>
    </row>
    <row r="1117" spans="1:5" hidden="1" x14ac:dyDescent="0.25">
      <c r="A1117" s="1">
        <v>46037</v>
      </c>
      <c r="B1117">
        <v>6944.47</v>
      </c>
      <c r="C1117" s="3">
        <f t="shared" si="35"/>
        <v>2.5799093350272703E-3</v>
      </c>
      <c r="D1117">
        <f>MONTH(tbl_SP500_Clean[[#This Row],[observation_date]])</f>
        <v>1</v>
      </c>
      <c r="E1117" t="str">
        <f t="shared" si="36"/>
        <v>No</v>
      </c>
    </row>
    <row r="1118" spans="1:5" hidden="1" x14ac:dyDescent="0.25">
      <c r="A1118" s="1">
        <v>46038</v>
      </c>
      <c r="B1118">
        <v>6940.01</v>
      </c>
      <c r="C1118" s="3">
        <f t="shared" si="35"/>
        <v>-6.422376365655026E-4</v>
      </c>
      <c r="D1118">
        <f>MONTH(tbl_SP500_Clean[[#This Row],[observation_date]])</f>
        <v>1</v>
      </c>
      <c r="E1118" t="str">
        <f t="shared" si="36"/>
        <v>No</v>
      </c>
    </row>
    <row r="1119" spans="1:5" hidden="1" x14ac:dyDescent="0.25">
      <c r="A1119" s="1">
        <v>46041</v>
      </c>
      <c r="C1119">
        <f t="shared" si="35"/>
        <v>-1</v>
      </c>
      <c r="D1119">
        <f>MONTH(tbl_SP500_Clean[[#This Row],[observation_date]])</f>
        <v>1</v>
      </c>
      <c r="E1119" t="str">
        <f t="shared" si="36"/>
        <v>No</v>
      </c>
    </row>
    <row r="1120" spans="1:5" hidden="1" x14ac:dyDescent="0.25">
      <c r="A1120" s="1">
        <v>46042</v>
      </c>
      <c r="B1120">
        <v>6796.86</v>
      </c>
      <c r="C1120" s="3" t="e">
        <f t="shared" si="35"/>
        <v>#DIV/0!</v>
      </c>
      <c r="D1120">
        <f>MONTH(tbl_SP500_Clean[[#This Row],[observation_date]])</f>
        <v>1</v>
      </c>
      <c r="E1120" t="str">
        <f t="shared" si="36"/>
        <v>No</v>
      </c>
    </row>
    <row r="1121" spans="1:5" hidden="1" x14ac:dyDescent="0.25">
      <c r="A1121" s="1">
        <v>46043</v>
      </c>
      <c r="B1121">
        <v>6875.62</v>
      </c>
      <c r="C1121" s="3">
        <f t="shared" si="35"/>
        <v>1.1587703733782985E-2</v>
      </c>
      <c r="D1121">
        <f>MONTH(tbl_SP500_Clean[[#This Row],[observation_date]])</f>
        <v>1</v>
      </c>
      <c r="E1121" t="str">
        <f t="shared" si="36"/>
        <v>No</v>
      </c>
    </row>
    <row r="1122" spans="1:5" hidden="1" x14ac:dyDescent="0.25">
      <c r="A1122" s="1">
        <v>46044</v>
      </c>
      <c r="B1122">
        <v>6913.35</v>
      </c>
      <c r="C1122" s="3">
        <f t="shared" si="35"/>
        <v>5.4875051268104512E-3</v>
      </c>
      <c r="D1122">
        <f>MONTH(tbl_SP500_Clean[[#This Row],[observation_date]])</f>
        <v>1</v>
      </c>
      <c r="E1122" t="str">
        <f t="shared" si="36"/>
        <v>No</v>
      </c>
    </row>
    <row r="1123" spans="1:5" hidden="1" x14ac:dyDescent="0.25">
      <c r="A1123" s="1">
        <v>46045</v>
      </c>
      <c r="B1123">
        <v>6915.61</v>
      </c>
      <c r="C1123" s="3">
        <f t="shared" si="35"/>
        <v>3.2690374420495257E-4</v>
      </c>
      <c r="D1123">
        <f>MONTH(tbl_SP500_Clean[[#This Row],[observation_date]])</f>
        <v>1</v>
      </c>
      <c r="E1123" t="str">
        <f t="shared" si="36"/>
        <v>No</v>
      </c>
    </row>
    <row r="1124" spans="1:5" hidden="1" x14ac:dyDescent="0.25">
      <c r="A1124" s="1">
        <v>46048</v>
      </c>
      <c r="B1124">
        <v>6950.23</v>
      </c>
      <c r="C1124" s="3">
        <f t="shared" si="35"/>
        <v>5.0060659869483517E-3</v>
      </c>
      <c r="D1124">
        <f>MONTH(tbl_SP500_Clean[[#This Row],[observation_date]])</f>
        <v>1</v>
      </c>
      <c r="E1124" t="str">
        <f t="shared" si="36"/>
        <v>No</v>
      </c>
    </row>
    <row r="1125" spans="1:5" hidden="1" x14ac:dyDescent="0.25">
      <c r="A1125" s="1">
        <v>46049</v>
      </c>
      <c r="B1125">
        <v>6978.6</v>
      </c>
      <c r="C1125" s="3">
        <f t="shared" si="35"/>
        <v>4.0818793047137725E-3</v>
      </c>
      <c r="D1125">
        <f>MONTH(tbl_SP500_Clean[[#This Row],[observation_date]])</f>
        <v>1</v>
      </c>
      <c r="E1125" t="str">
        <f t="shared" si="36"/>
        <v>No</v>
      </c>
    </row>
    <row r="1126" spans="1:5" hidden="1" x14ac:dyDescent="0.25">
      <c r="A1126" s="1">
        <v>46050</v>
      </c>
      <c r="B1126">
        <v>6978.03</v>
      </c>
      <c r="C1126" s="3">
        <f t="shared" si="35"/>
        <v>-8.1678273579316549E-5</v>
      </c>
      <c r="D1126">
        <f>MONTH(tbl_SP500_Clean[[#This Row],[observation_date]])</f>
        <v>1</v>
      </c>
      <c r="E1126" t="str">
        <f t="shared" si="36"/>
        <v>No</v>
      </c>
    </row>
    <row r="1127" spans="1:5" hidden="1" x14ac:dyDescent="0.25">
      <c r="A1127" s="1">
        <v>46051</v>
      </c>
      <c r="B1127">
        <v>6969.01</v>
      </c>
      <c r="C1127" s="3">
        <f t="shared" si="35"/>
        <v>-1.292628435245983E-3</v>
      </c>
      <c r="D1127">
        <f>MONTH(tbl_SP500_Clean[[#This Row],[observation_date]])</f>
        <v>1</v>
      </c>
      <c r="E1127" t="str">
        <f t="shared" si="36"/>
        <v>No</v>
      </c>
    </row>
    <row r="1128" spans="1:5" x14ac:dyDescent="0.25">
      <c r="A1128" s="1">
        <v>46052</v>
      </c>
      <c r="B1128">
        <v>6939.03</v>
      </c>
      <c r="C1128" s="3">
        <f t="shared" si="35"/>
        <v>-4.3019022788029389E-3</v>
      </c>
      <c r="D1128">
        <f>MONTH(tbl_SP500_Clean[[#This Row],[observation_date]])</f>
        <v>1</v>
      </c>
      <c r="E1128" t="str">
        <f t="shared" si="36"/>
        <v>Yes</v>
      </c>
    </row>
    <row r="1129" spans="1:5" hidden="1" x14ac:dyDescent="0.25">
      <c r="A1129" s="1">
        <v>46055</v>
      </c>
      <c r="B1129">
        <v>6976.44</v>
      </c>
      <c r="C1129" s="3">
        <f t="shared" si="35"/>
        <v>5.3912434446889345E-3</v>
      </c>
      <c r="D1129">
        <f>MONTH(tbl_SP500_Clean[[#This Row],[observation_date]])</f>
        <v>2</v>
      </c>
      <c r="E1129" t="str">
        <f t="shared" si="36"/>
        <v>No</v>
      </c>
    </row>
    <row r="1130" spans="1:5" hidden="1" x14ac:dyDescent="0.25">
      <c r="A1130" s="1">
        <v>46056</v>
      </c>
      <c r="B1130">
        <v>6917.81</v>
      </c>
      <c r="C1130" s="3">
        <f t="shared" si="35"/>
        <v>-8.4039997477222197E-3</v>
      </c>
      <c r="D1130">
        <f>MONTH(tbl_SP500_Clean[[#This Row],[observation_date]])</f>
        <v>2</v>
      </c>
      <c r="E1130" t="str">
        <f t="shared" si="36"/>
        <v>No</v>
      </c>
    </row>
    <row r="1131" spans="1:5" hidden="1" x14ac:dyDescent="0.25">
      <c r="A1131" s="1">
        <v>46057</v>
      </c>
      <c r="B1131">
        <v>6882.72</v>
      </c>
      <c r="C1131" s="3">
        <f t="shared" si="35"/>
        <v>-5.0724145358141005E-3</v>
      </c>
      <c r="D1131">
        <f>MONTH(tbl_SP500_Clean[[#This Row],[observation_date]])</f>
        <v>2</v>
      </c>
      <c r="E1131" t="str">
        <f t="shared" si="36"/>
        <v>No</v>
      </c>
    </row>
    <row r="1132" spans="1:5" hidden="1" x14ac:dyDescent="0.25">
      <c r="A1132" s="1">
        <v>46058</v>
      </c>
      <c r="B1132">
        <v>6798.4</v>
      </c>
      <c r="C1132" s="3">
        <f t="shared" si="35"/>
        <v>-1.2250970546528206E-2</v>
      </c>
      <c r="D1132">
        <f>MONTH(tbl_SP500_Clean[[#This Row],[observation_date]])</f>
        <v>2</v>
      </c>
      <c r="E1132" t="str">
        <f t="shared" si="36"/>
        <v>No</v>
      </c>
    </row>
    <row r="1133" spans="1:5" hidden="1" x14ac:dyDescent="0.25">
      <c r="A1133" s="1">
        <v>46059</v>
      </c>
      <c r="B1133">
        <v>6932.3</v>
      </c>
      <c r="C1133" s="3">
        <f t="shared" si="35"/>
        <v>1.9695810779006905E-2</v>
      </c>
      <c r="D1133">
        <f>MONTH(tbl_SP500_Clean[[#This Row],[observation_date]])</f>
        <v>2</v>
      </c>
      <c r="E1133" t="str">
        <f t="shared" si="36"/>
        <v>No</v>
      </c>
    </row>
    <row r="1134" spans="1:5" hidden="1" x14ac:dyDescent="0.25">
      <c r="A1134" s="1">
        <v>46062</v>
      </c>
      <c r="B1134">
        <v>6964.82</v>
      </c>
      <c r="C1134" s="3">
        <f t="shared" si="35"/>
        <v>4.691083767292172E-3</v>
      </c>
      <c r="D1134">
        <f>MONTH(tbl_SP500_Clean[[#This Row],[observation_date]])</f>
        <v>2</v>
      </c>
      <c r="E1134" t="str">
        <f t="shared" si="36"/>
        <v>No</v>
      </c>
    </row>
    <row r="1135" spans="1:5" hidden="1" x14ac:dyDescent="0.25">
      <c r="A1135" s="1">
        <v>46063</v>
      </c>
      <c r="B1135">
        <v>6941.81</v>
      </c>
      <c r="C1135" s="3">
        <f t="shared" si="35"/>
        <v>-3.3037465433420118E-3</v>
      </c>
      <c r="D1135">
        <f>MONTH(tbl_SP500_Clean[[#This Row],[observation_date]])</f>
        <v>2</v>
      </c>
      <c r="E1135" t="str">
        <f t="shared" si="36"/>
        <v>No</v>
      </c>
    </row>
    <row r="1136" spans="1:5" hidden="1" x14ac:dyDescent="0.25">
      <c r="A1136" s="1">
        <v>46064</v>
      </c>
      <c r="B1136">
        <v>6941.47</v>
      </c>
      <c r="C1136" s="3">
        <f t="shared" si="35"/>
        <v>-4.8978580514324868E-5</v>
      </c>
      <c r="D1136">
        <f>MONTH(tbl_SP500_Clean[[#This Row],[observation_date]])</f>
        <v>2</v>
      </c>
      <c r="E1136" t="str">
        <f t="shared" si="36"/>
        <v>No</v>
      </c>
    </row>
    <row r="1137" spans="1:5" hidden="1" x14ac:dyDescent="0.25">
      <c r="A1137" s="1">
        <v>46065</v>
      </c>
      <c r="B1137">
        <v>6832.76</v>
      </c>
      <c r="C1137" s="3">
        <f t="shared" si="35"/>
        <v>-1.5660947897203334E-2</v>
      </c>
      <c r="D1137">
        <f>MONTH(tbl_SP500_Clean[[#This Row],[observation_date]])</f>
        <v>2</v>
      </c>
      <c r="E1137" t="str">
        <f t="shared" si="36"/>
        <v>No</v>
      </c>
    </row>
    <row r="1138" spans="1:5" hidden="1" x14ac:dyDescent="0.25">
      <c r="A1138" s="1">
        <v>46066</v>
      </c>
      <c r="B1138">
        <v>6836.17</v>
      </c>
      <c r="C1138" s="3">
        <f t="shared" si="35"/>
        <v>4.9906626312059177E-4</v>
      </c>
      <c r="D1138">
        <f>MONTH(tbl_SP500_Clean[[#This Row],[observation_date]])</f>
        <v>2</v>
      </c>
      <c r="E1138" t="str">
        <f t="shared" si="36"/>
        <v>No</v>
      </c>
    </row>
    <row r="1139" spans="1:5" hidden="1" x14ac:dyDescent="0.25">
      <c r="A1139" s="1">
        <v>46069</v>
      </c>
      <c r="C1139">
        <f t="shared" si="35"/>
        <v>-1</v>
      </c>
      <c r="D1139">
        <f>MONTH(tbl_SP500_Clean[[#This Row],[observation_date]])</f>
        <v>2</v>
      </c>
      <c r="E1139" t="str">
        <f t="shared" si="36"/>
        <v>No</v>
      </c>
    </row>
    <row r="1140" spans="1:5" hidden="1" x14ac:dyDescent="0.25">
      <c r="A1140" s="1">
        <v>46070</v>
      </c>
      <c r="B1140">
        <v>6843.22</v>
      </c>
      <c r="C1140" s="3" t="e">
        <f t="shared" si="35"/>
        <v>#DIV/0!</v>
      </c>
      <c r="D1140">
        <f>MONTH(tbl_SP500_Clean[[#This Row],[observation_date]])</f>
        <v>2</v>
      </c>
      <c r="E1140" t="str">
        <f t="shared" si="36"/>
        <v>No</v>
      </c>
    </row>
    <row r="1141" spans="1:5" hidden="1" x14ac:dyDescent="0.25">
      <c r="A1141" s="1">
        <v>46071</v>
      </c>
      <c r="B1141">
        <v>6881.31</v>
      </c>
      <c r="C1141" s="3">
        <f t="shared" si="35"/>
        <v>5.5660931549767721E-3</v>
      </c>
      <c r="D1141">
        <f>MONTH(tbl_SP500_Clean[[#This Row],[observation_date]])</f>
        <v>2</v>
      </c>
      <c r="E1141" t="str">
        <f t="shared" si="36"/>
        <v>No</v>
      </c>
    </row>
    <row r="1142" spans="1:5" hidden="1" x14ac:dyDescent="0.25">
      <c r="A1142" s="1">
        <v>46072</v>
      </c>
      <c r="B1142">
        <v>6861.89</v>
      </c>
      <c r="C1142" s="3">
        <f t="shared" si="35"/>
        <v>-2.8221370640183442E-3</v>
      </c>
      <c r="D1142">
        <f>MONTH(tbl_SP500_Clean[[#This Row],[observation_date]])</f>
        <v>2</v>
      </c>
      <c r="E1142" t="str">
        <f t="shared" si="36"/>
        <v>No</v>
      </c>
    </row>
    <row r="1143" spans="1:5" hidden="1" x14ac:dyDescent="0.25">
      <c r="A1143" s="1">
        <v>46073</v>
      </c>
      <c r="B1143">
        <v>6909.51</v>
      </c>
      <c r="C1143" s="3">
        <f t="shared" si="35"/>
        <v>6.9397789821754484E-3</v>
      </c>
      <c r="D1143">
        <f>MONTH(tbl_SP500_Clean[[#This Row],[observation_date]])</f>
        <v>2</v>
      </c>
      <c r="E1143" t="str">
        <f t="shared" si="36"/>
        <v>No</v>
      </c>
    </row>
    <row r="1144" spans="1:5" hidden="1" x14ac:dyDescent="0.25">
      <c r="A1144" s="1">
        <v>46076</v>
      </c>
      <c r="B1144">
        <v>6837.75</v>
      </c>
      <c r="C1144" s="3">
        <f t="shared" si="35"/>
        <v>-1.0385685815636741E-2</v>
      </c>
      <c r="D1144">
        <f>MONTH(tbl_SP500_Clean[[#This Row],[observation_date]])</f>
        <v>2</v>
      </c>
      <c r="E1144" t="str">
        <f t="shared" si="36"/>
        <v>No</v>
      </c>
    </row>
    <row r="1145" spans="1:5" hidden="1" x14ac:dyDescent="0.25">
      <c r="A1145" s="1">
        <v>46077</v>
      </c>
      <c r="B1145">
        <v>6890.07</v>
      </c>
      <c r="C1145" s="3">
        <f t="shared" si="35"/>
        <v>7.6516397937917745E-3</v>
      </c>
      <c r="D1145">
        <f>MONTH(tbl_SP500_Clean[[#This Row],[observation_date]])</f>
        <v>2</v>
      </c>
      <c r="E1145" t="str">
        <f t="shared" si="36"/>
        <v>No</v>
      </c>
    </row>
    <row r="1146" spans="1:5" hidden="1" x14ac:dyDescent="0.25">
      <c r="A1146" s="1">
        <v>46078</v>
      </c>
      <c r="B1146">
        <v>6946.13</v>
      </c>
      <c r="C1146" s="3">
        <f t="shared" si="35"/>
        <v>8.1363469456769526E-3</v>
      </c>
      <c r="D1146">
        <f>MONTH(tbl_SP500_Clean[[#This Row],[observation_date]])</f>
        <v>2</v>
      </c>
      <c r="E1146" t="str">
        <f t="shared" si="36"/>
        <v>No</v>
      </c>
    </row>
    <row r="1147" spans="1:5" hidden="1" x14ac:dyDescent="0.25">
      <c r="A1147" s="1">
        <v>46079</v>
      </c>
      <c r="B1147">
        <v>6908.86</v>
      </c>
      <c r="C1147" s="3">
        <f t="shared" si="35"/>
        <v>-5.3655776669887315E-3</v>
      </c>
      <c r="D1147">
        <f>MONTH(tbl_SP500_Clean[[#This Row],[observation_date]])</f>
        <v>2</v>
      </c>
      <c r="E1147" t="str">
        <f t="shared" si="36"/>
        <v>No</v>
      </c>
    </row>
    <row r="1148" spans="1:5" x14ac:dyDescent="0.25">
      <c r="A1148" s="1">
        <v>46080</v>
      </c>
      <c r="B1148">
        <v>6878.88</v>
      </c>
      <c r="C1148" s="3">
        <f t="shared" si="35"/>
        <v>-4.3393555521460221E-3</v>
      </c>
      <c r="D1148">
        <f>MONTH(tbl_SP500_Clean[[#This Row],[observation_date]])</f>
        <v>2</v>
      </c>
      <c r="E1148" t="str">
        <f t="shared" si="36"/>
        <v>Yes</v>
      </c>
    </row>
    <row r="1149" spans="1:5" hidden="1" x14ac:dyDescent="0.25">
      <c r="A1149" s="1">
        <v>46083</v>
      </c>
      <c r="B1149">
        <v>6881.62</v>
      </c>
      <c r="C1149" s="3">
        <f t="shared" si="35"/>
        <v>3.9832065685108358E-4</v>
      </c>
      <c r="D1149">
        <f>MONTH(tbl_SP500_Clean[[#This Row],[observation_date]])</f>
        <v>3</v>
      </c>
      <c r="E1149" t="str">
        <f t="shared" si="36"/>
        <v>No</v>
      </c>
    </row>
    <row r="1150" spans="1:5" hidden="1" x14ac:dyDescent="0.25">
      <c r="A1150" s="1">
        <v>46084</v>
      </c>
      <c r="B1150">
        <v>6816.63</v>
      </c>
      <c r="C1150" s="3">
        <f t="shared" si="35"/>
        <v>-9.4439971983340809E-3</v>
      </c>
      <c r="D1150">
        <f>MONTH(tbl_SP500_Clean[[#This Row],[observation_date]])</f>
        <v>3</v>
      </c>
      <c r="E1150" t="str">
        <f t="shared" si="36"/>
        <v>No</v>
      </c>
    </row>
    <row r="1151" spans="1:5" hidden="1" x14ac:dyDescent="0.25">
      <c r="A1151" s="1">
        <v>46085</v>
      </c>
      <c r="B1151">
        <v>6869.5</v>
      </c>
      <c r="C1151" s="3">
        <f t="shared" si="35"/>
        <v>7.7560319395360887E-3</v>
      </c>
      <c r="D1151">
        <f>MONTH(tbl_SP500_Clean[[#This Row],[observation_date]])</f>
        <v>3</v>
      </c>
      <c r="E1151" t="str">
        <f t="shared" si="36"/>
        <v>No</v>
      </c>
    </row>
    <row r="1152" spans="1:5" hidden="1" x14ac:dyDescent="0.25">
      <c r="A1152" s="1">
        <v>46086</v>
      </c>
      <c r="B1152">
        <v>6830.71</v>
      </c>
      <c r="C1152" s="3">
        <f t="shared" si="35"/>
        <v>-5.6466991775238323E-3</v>
      </c>
      <c r="D1152">
        <f>MONTH(tbl_SP500_Clean[[#This Row],[observation_date]])</f>
        <v>3</v>
      </c>
      <c r="E1152" t="str">
        <f t="shared" si="36"/>
        <v>No</v>
      </c>
    </row>
    <row r="1153" spans="1:5" hidden="1" x14ac:dyDescent="0.25">
      <c r="A1153" s="1">
        <v>46087</v>
      </c>
      <c r="B1153">
        <v>6740.02</v>
      </c>
      <c r="C1153" s="3">
        <f t="shared" si="35"/>
        <v>-1.3276804314631949E-2</v>
      </c>
      <c r="D1153">
        <f>MONTH(tbl_SP500_Clean[[#This Row],[observation_date]])</f>
        <v>3</v>
      </c>
      <c r="E1153" t="str">
        <f t="shared" si="36"/>
        <v>No</v>
      </c>
    </row>
    <row r="1154" spans="1:5" hidden="1" x14ac:dyDescent="0.25">
      <c r="A1154" s="1">
        <v>46090</v>
      </c>
      <c r="B1154">
        <v>6795.99</v>
      </c>
      <c r="C1154" s="3">
        <f t="shared" ref="C1154:C1217" si="37">(B1154-B1153)/B1153</f>
        <v>8.3041296613362188E-3</v>
      </c>
      <c r="D1154">
        <f>MONTH(tbl_SP500_Clean[[#This Row],[observation_date]])</f>
        <v>3</v>
      </c>
      <c r="E1154" t="str">
        <f t="shared" ref="E1154:E1217" si="38">IF(D1154&lt;&gt;D1155,"Yes","No")</f>
        <v>No</v>
      </c>
    </row>
    <row r="1155" spans="1:5" hidden="1" x14ac:dyDescent="0.25">
      <c r="A1155" s="1">
        <v>46091</v>
      </c>
      <c r="B1155">
        <v>6781.48</v>
      </c>
      <c r="C1155" s="3">
        <f t="shared" si="37"/>
        <v>-2.1350826001804326E-3</v>
      </c>
      <c r="D1155">
        <f>MONTH(tbl_SP500_Clean[[#This Row],[observation_date]])</f>
        <v>3</v>
      </c>
      <c r="E1155" t="str">
        <f t="shared" si="38"/>
        <v>No</v>
      </c>
    </row>
    <row r="1156" spans="1:5" hidden="1" x14ac:dyDescent="0.25">
      <c r="A1156" s="1">
        <v>46092</v>
      </c>
      <c r="B1156">
        <v>6775.8</v>
      </c>
      <c r="C1156" s="3">
        <f t="shared" si="37"/>
        <v>-8.3757527855267313E-4</v>
      </c>
      <c r="D1156">
        <f>MONTH(tbl_SP500_Clean[[#This Row],[observation_date]])</f>
        <v>3</v>
      </c>
      <c r="E1156" t="str">
        <f t="shared" si="38"/>
        <v>No</v>
      </c>
    </row>
    <row r="1157" spans="1:5" hidden="1" x14ac:dyDescent="0.25">
      <c r="A1157" s="1">
        <v>46093</v>
      </c>
      <c r="B1157">
        <v>6672.62</v>
      </c>
      <c r="C1157" s="3">
        <f t="shared" si="37"/>
        <v>-1.5227722187785987E-2</v>
      </c>
      <c r="D1157">
        <f>MONTH(tbl_SP500_Clean[[#This Row],[observation_date]])</f>
        <v>3</v>
      </c>
      <c r="E1157" t="str">
        <f t="shared" si="38"/>
        <v>No</v>
      </c>
    </row>
    <row r="1158" spans="1:5" hidden="1" x14ac:dyDescent="0.25">
      <c r="A1158" s="1">
        <v>46094</v>
      </c>
      <c r="B1158">
        <v>6632.19</v>
      </c>
      <c r="C1158" s="3">
        <f t="shared" si="37"/>
        <v>-6.0590892333146941E-3</v>
      </c>
      <c r="D1158">
        <f>MONTH(tbl_SP500_Clean[[#This Row],[observation_date]])</f>
        <v>3</v>
      </c>
      <c r="E1158" t="str">
        <f t="shared" si="38"/>
        <v>No</v>
      </c>
    </row>
    <row r="1159" spans="1:5" hidden="1" x14ac:dyDescent="0.25">
      <c r="A1159" s="1">
        <v>46097</v>
      </c>
      <c r="B1159">
        <v>6699.38</v>
      </c>
      <c r="C1159" s="3">
        <f t="shared" si="37"/>
        <v>1.0130891907499712E-2</v>
      </c>
      <c r="D1159">
        <f>MONTH(tbl_SP500_Clean[[#This Row],[observation_date]])</f>
        <v>3</v>
      </c>
      <c r="E1159" t="str">
        <f t="shared" si="38"/>
        <v>No</v>
      </c>
    </row>
    <row r="1160" spans="1:5" hidden="1" x14ac:dyDescent="0.25">
      <c r="A1160" s="1">
        <v>46098</v>
      </c>
      <c r="B1160">
        <v>6716.09</v>
      </c>
      <c r="C1160" s="3">
        <f t="shared" si="37"/>
        <v>2.4942606629270226E-3</v>
      </c>
      <c r="D1160">
        <f>MONTH(tbl_SP500_Clean[[#This Row],[observation_date]])</f>
        <v>3</v>
      </c>
      <c r="E1160" t="str">
        <f t="shared" si="38"/>
        <v>No</v>
      </c>
    </row>
    <row r="1161" spans="1:5" hidden="1" x14ac:dyDescent="0.25">
      <c r="A1161" s="1">
        <v>46099</v>
      </c>
      <c r="B1161">
        <v>6624.7</v>
      </c>
      <c r="C1161" s="3">
        <f t="shared" si="37"/>
        <v>-1.3607619909798755E-2</v>
      </c>
      <c r="D1161">
        <f>MONTH(tbl_SP500_Clean[[#This Row],[observation_date]])</f>
        <v>3</v>
      </c>
      <c r="E1161" t="str">
        <f t="shared" si="38"/>
        <v>No</v>
      </c>
    </row>
    <row r="1162" spans="1:5" hidden="1" x14ac:dyDescent="0.25">
      <c r="A1162" s="1">
        <v>46100</v>
      </c>
      <c r="B1162">
        <v>6606.49</v>
      </c>
      <c r="C1162" s="3">
        <f t="shared" si="37"/>
        <v>-2.748803719413715E-3</v>
      </c>
      <c r="D1162">
        <f>MONTH(tbl_SP500_Clean[[#This Row],[observation_date]])</f>
        <v>3</v>
      </c>
      <c r="E1162" t="str">
        <f t="shared" si="38"/>
        <v>No</v>
      </c>
    </row>
    <row r="1163" spans="1:5" hidden="1" x14ac:dyDescent="0.25">
      <c r="A1163" s="1">
        <v>46101</v>
      </c>
      <c r="B1163">
        <v>6506.48</v>
      </c>
      <c r="C1163" s="3">
        <f t="shared" si="37"/>
        <v>-1.5138144460977042E-2</v>
      </c>
      <c r="D1163">
        <f>MONTH(tbl_SP500_Clean[[#This Row],[observation_date]])</f>
        <v>3</v>
      </c>
      <c r="E1163" t="str">
        <f t="shared" si="38"/>
        <v>No</v>
      </c>
    </row>
    <row r="1164" spans="1:5" hidden="1" x14ac:dyDescent="0.25">
      <c r="A1164" s="1">
        <v>46104</v>
      </c>
      <c r="B1164">
        <v>6581</v>
      </c>
      <c r="C1164" s="3">
        <f t="shared" si="37"/>
        <v>1.1453197427795127E-2</v>
      </c>
      <c r="D1164">
        <f>MONTH(tbl_SP500_Clean[[#This Row],[observation_date]])</f>
        <v>3</v>
      </c>
      <c r="E1164" t="str">
        <f t="shared" si="38"/>
        <v>No</v>
      </c>
    </row>
    <row r="1165" spans="1:5" hidden="1" x14ac:dyDescent="0.25">
      <c r="A1165" s="1">
        <v>46105</v>
      </c>
      <c r="B1165">
        <v>6556.37</v>
      </c>
      <c r="C1165" s="3">
        <f t="shared" si="37"/>
        <v>-3.7425923111989224E-3</v>
      </c>
      <c r="D1165">
        <f>MONTH(tbl_SP500_Clean[[#This Row],[observation_date]])</f>
        <v>3</v>
      </c>
      <c r="E1165" t="str">
        <f t="shared" si="38"/>
        <v>No</v>
      </c>
    </row>
    <row r="1166" spans="1:5" hidden="1" x14ac:dyDescent="0.25">
      <c r="A1166" s="1">
        <v>46106</v>
      </c>
      <c r="B1166">
        <v>6591.9</v>
      </c>
      <c r="C1166" s="3">
        <f t="shared" si="37"/>
        <v>5.4191572470741805E-3</v>
      </c>
      <c r="D1166">
        <f>MONTH(tbl_SP500_Clean[[#This Row],[observation_date]])</f>
        <v>3</v>
      </c>
      <c r="E1166" t="str">
        <f t="shared" si="38"/>
        <v>No</v>
      </c>
    </row>
    <row r="1167" spans="1:5" hidden="1" x14ac:dyDescent="0.25">
      <c r="A1167" s="1">
        <v>46107</v>
      </c>
      <c r="B1167">
        <v>6477.16</v>
      </c>
      <c r="C1167" s="3">
        <f t="shared" si="37"/>
        <v>-1.7406210652467391E-2</v>
      </c>
      <c r="D1167">
        <f>MONTH(tbl_SP500_Clean[[#This Row],[observation_date]])</f>
        <v>3</v>
      </c>
      <c r="E1167" t="str">
        <f t="shared" si="38"/>
        <v>No</v>
      </c>
    </row>
    <row r="1168" spans="1:5" hidden="1" x14ac:dyDescent="0.25">
      <c r="A1168" s="1">
        <v>46108</v>
      </c>
      <c r="B1168">
        <v>6368.85</v>
      </c>
      <c r="C1168" s="3">
        <f t="shared" si="37"/>
        <v>-1.672183487824903E-2</v>
      </c>
      <c r="D1168">
        <f>MONTH(tbl_SP500_Clean[[#This Row],[observation_date]])</f>
        <v>3</v>
      </c>
      <c r="E1168" t="str">
        <f t="shared" si="38"/>
        <v>No</v>
      </c>
    </row>
    <row r="1169" spans="1:5" hidden="1" x14ac:dyDescent="0.25">
      <c r="A1169" s="1">
        <v>46111</v>
      </c>
      <c r="B1169">
        <v>6343.72</v>
      </c>
      <c r="C1169" s="3">
        <f t="shared" si="37"/>
        <v>-3.9457672892280566E-3</v>
      </c>
      <c r="D1169">
        <f>MONTH(tbl_SP500_Clean[[#This Row],[observation_date]])</f>
        <v>3</v>
      </c>
      <c r="E1169" t="str">
        <f t="shared" si="38"/>
        <v>No</v>
      </c>
    </row>
    <row r="1170" spans="1:5" x14ac:dyDescent="0.25">
      <c r="A1170" s="1">
        <v>46112</v>
      </c>
      <c r="B1170">
        <v>6528.52</v>
      </c>
      <c r="C1170" s="3">
        <f t="shared" si="37"/>
        <v>2.9131172245937743E-2</v>
      </c>
      <c r="D1170">
        <f>MONTH(tbl_SP500_Clean[[#This Row],[observation_date]])</f>
        <v>3</v>
      </c>
      <c r="E1170" t="str">
        <f t="shared" si="38"/>
        <v>Yes</v>
      </c>
    </row>
    <row r="1171" spans="1:5" hidden="1" x14ac:dyDescent="0.25">
      <c r="A1171" s="1">
        <v>46113</v>
      </c>
      <c r="B1171">
        <v>6575.32</v>
      </c>
      <c r="C1171" s="3">
        <f t="shared" si="37"/>
        <v>7.1685466231242714E-3</v>
      </c>
      <c r="D1171">
        <f>MONTH(tbl_SP500_Clean[[#This Row],[observation_date]])</f>
        <v>4</v>
      </c>
      <c r="E1171" t="str">
        <f t="shared" si="38"/>
        <v>No</v>
      </c>
    </row>
    <row r="1172" spans="1:5" hidden="1" x14ac:dyDescent="0.25">
      <c r="A1172" s="1">
        <v>46114</v>
      </c>
      <c r="B1172">
        <v>6582.69</v>
      </c>
      <c r="C1172" s="3">
        <f t="shared" si="37"/>
        <v>1.120857996264804E-3</v>
      </c>
      <c r="D1172">
        <f>MONTH(tbl_SP500_Clean[[#This Row],[observation_date]])</f>
        <v>4</v>
      </c>
      <c r="E1172" t="str">
        <f t="shared" si="38"/>
        <v>No</v>
      </c>
    </row>
    <row r="1173" spans="1:5" hidden="1" x14ac:dyDescent="0.25">
      <c r="A1173" s="1">
        <v>46115</v>
      </c>
      <c r="C1173">
        <f t="shared" si="37"/>
        <v>-1</v>
      </c>
      <c r="D1173">
        <f>MONTH(tbl_SP500_Clean[[#This Row],[observation_date]])</f>
        <v>4</v>
      </c>
      <c r="E1173" t="str">
        <f t="shared" si="38"/>
        <v>No</v>
      </c>
    </row>
    <row r="1174" spans="1:5" hidden="1" x14ac:dyDescent="0.25">
      <c r="A1174" s="1">
        <v>46118</v>
      </c>
      <c r="B1174">
        <v>6611.83</v>
      </c>
      <c r="C1174" s="3" t="e">
        <f t="shared" si="37"/>
        <v>#DIV/0!</v>
      </c>
      <c r="D1174">
        <f>MONTH(tbl_SP500_Clean[[#This Row],[observation_date]])</f>
        <v>4</v>
      </c>
      <c r="E1174" t="str">
        <f t="shared" si="38"/>
        <v>No</v>
      </c>
    </row>
    <row r="1175" spans="1:5" hidden="1" x14ac:dyDescent="0.25">
      <c r="A1175" s="1">
        <v>46119</v>
      </c>
      <c r="B1175">
        <v>6616.85</v>
      </c>
      <c r="C1175" s="3">
        <f t="shared" si="37"/>
        <v>7.5924517115540427E-4</v>
      </c>
      <c r="D1175">
        <f>MONTH(tbl_SP500_Clean[[#This Row],[observation_date]])</f>
        <v>4</v>
      </c>
      <c r="E1175" t="str">
        <f t="shared" si="38"/>
        <v>No</v>
      </c>
    </row>
    <row r="1176" spans="1:5" hidden="1" x14ac:dyDescent="0.25">
      <c r="A1176" s="1">
        <v>46120</v>
      </c>
      <c r="B1176">
        <v>6782.81</v>
      </c>
      <c r="C1176" s="3">
        <f t="shared" si="37"/>
        <v>2.5081420917808326E-2</v>
      </c>
      <c r="D1176">
        <f>MONTH(tbl_SP500_Clean[[#This Row],[observation_date]])</f>
        <v>4</v>
      </c>
      <c r="E1176" t="str">
        <f t="shared" si="38"/>
        <v>No</v>
      </c>
    </row>
    <row r="1177" spans="1:5" hidden="1" x14ac:dyDescent="0.25">
      <c r="A1177" s="1">
        <v>46121</v>
      </c>
      <c r="B1177">
        <v>6824.66</v>
      </c>
      <c r="C1177" s="3">
        <f t="shared" si="37"/>
        <v>6.1700091849837243E-3</v>
      </c>
      <c r="D1177">
        <f>MONTH(tbl_SP500_Clean[[#This Row],[observation_date]])</f>
        <v>4</v>
      </c>
      <c r="E1177" t="str">
        <f t="shared" si="38"/>
        <v>No</v>
      </c>
    </row>
    <row r="1178" spans="1:5" hidden="1" x14ac:dyDescent="0.25">
      <c r="A1178" s="1">
        <v>46122</v>
      </c>
      <c r="B1178">
        <v>6816.89</v>
      </c>
      <c r="C1178" s="3">
        <f t="shared" si="37"/>
        <v>-1.1385182558544349E-3</v>
      </c>
      <c r="D1178">
        <f>MONTH(tbl_SP500_Clean[[#This Row],[observation_date]])</f>
        <v>4</v>
      </c>
      <c r="E1178" t="str">
        <f t="shared" si="38"/>
        <v>No</v>
      </c>
    </row>
    <row r="1179" spans="1:5" hidden="1" x14ac:dyDescent="0.25">
      <c r="A1179" s="1">
        <v>46125</v>
      </c>
      <c r="B1179">
        <v>6886.24</v>
      </c>
      <c r="C1179" s="3">
        <f t="shared" si="37"/>
        <v>1.0173260827151304E-2</v>
      </c>
      <c r="D1179">
        <f>MONTH(tbl_SP500_Clean[[#This Row],[observation_date]])</f>
        <v>4</v>
      </c>
      <c r="E1179" t="str">
        <f t="shared" si="38"/>
        <v>No</v>
      </c>
    </row>
    <row r="1180" spans="1:5" hidden="1" x14ac:dyDescent="0.25">
      <c r="A1180" s="1">
        <v>46126</v>
      </c>
      <c r="B1180">
        <v>6967.38</v>
      </c>
      <c r="C1180" s="3">
        <f t="shared" si="37"/>
        <v>1.1782917818722602E-2</v>
      </c>
      <c r="D1180">
        <f>MONTH(tbl_SP500_Clean[[#This Row],[observation_date]])</f>
        <v>4</v>
      </c>
      <c r="E1180" t="str">
        <f t="shared" si="38"/>
        <v>No</v>
      </c>
    </row>
    <row r="1181" spans="1:5" hidden="1" x14ac:dyDescent="0.25">
      <c r="A1181" s="1">
        <v>46127</v>
      </c>
      <c r="B1181">
        <v>7022.95</v>
      </c>
      <c r="C1181" s="3">
        <f t="shared" si="37"/>
        <v>7.975738369372664E-3</v>
      </c>
      <c r="D1181">
        <f>MONTH(tbl_SP500_Clean[[#This Row],[observation_date]])</f>
        <v>4</v>
      </c>
      <c r="E1181" t="str">
        <f t="shared" si="38"/>
        <v>No</v>
      </c>
    </row>
    <row r="1182" spans="1:5" hidden="1" x14ac:dyDescent="0.25">
      <c r="A1182" s="1">
        <v>46128</v>
      </c>
      <c r="B1182">
        <v>7041.28</v>
      </c>
      <c r="C1182" s="3">
        <f t="shared" si="37"/>
        <v>2.6100143102257495E-3</v>
      </c>
      <c r="D1182">
        <f>MONTH(tbl_SP500_Clean[[#This Row],[observation_date]])</f>
        <v>4</v>
      </c>
      <c r="E1182" t="str">
        <f t="shared" si="38"/>
        <v>No</v>
      </c>
    </row>
    <row r="1183" spans="1:5" hidden="1" x14ac:dyDescent="0.25">
      <c r="A1183" s="1">
        <v>46129</v>
      </c>
      <c r="B1183">
        <v>7126.06</v>
      </c>
      <c r="C1183" s="3">
        <f t="shared" si="37"/>
        <v>1.2040424468278589E-2</v>
      </c>
      <c r="D1183">
        <f>MONTH(tbl_SP500_Clean[[#This Row],[observation_date]])</f>
        <v>4</v>
      </c>
      <c r="E1183" t="str">
        <f t="shared" si="38"/>
        <v>No</v>
      </c>
    </row>
    <row r="1184" spans="1:5" hidden="1" x14ac:dyDescent="0.25">
      <c r="A1184" s="1">
        <v>46132</v>
      </c>
      <c r="B1184">
        <v>7109.14</v>
      </c>
      <c r="C1184" s="3">
        <f t="shared" si="37"/>
        <v>-2.3743836004748867E-3</v>
      </c>
      <c r="D1184">
        <f>MONTH(tbl_SP500_Clean[[#This Row],[observation_date]])</f>
        <v>4</v>
      </c>
      <c r="E1184" t="str">
        <f t="shared" si="38"/>
        <v>No</v>
      </c>
    </row>
    <row r="1185" spans="1:5" hidden="1" x14ac:dyDescent="0.25">
      <c r="A1185" s="1">
        <v>46133</v>
      </c>
      <c r="B1185">
        <v>7064.01</v>
      </c>
      <c r="C1185" s="3">
        <f t="shared" si="37"/>
        <v>-6.3481658822304955E-3</v>
      </c>
      <c r="D1185">
        <f>MONTH(tbl_SP500_Clean[[#This Row],[observation_date]])</f>
        <v>4</v>
      </c>
      <c r="E1185" t="str">
        <f t="shared" si="38"/>
        <v>No</v>
      </c>
    </row>
    <row r="1186" spans="1:5" hidden="1" x14ac:dyDescent="0.25">
      <c r="A1186" s="1">
        <v>46134</v>
      </c>
      <c r="B1186">
        <v>7137.9</v>
      </c>
      <c r="C1186" s="3">
        <f t="shared" si="37"/>
        <v>1.0460064467632325E-2</v>
      </c>
      <c r="D1186">
        <f>MONTH(tbl_SP500_Clean[[#This Row],[observation_date]])</f>
        <v>4</v>
      </c>
      <c r="E1186" t="str">
        <f t="shared" si="38"/>
        <v>No</v>
      </c>
    </row>
    <row r="1187" spans="1:5" hidden="1" x14ac:dyDescent="0.25">
      <c r="A1187" s="1">
        <v>46135</v>
      </c>
      <c r="B1187">
        <v>7108.4</v>
      </c>
      <c r="C1187" s="3">
        <f t="shared" si="37"/>
        <v>-4.1328682105381135E-3</v>
      </c>
      <c r="D1187">
        <f>MONTH(tbl_SP500_Clean[[#This Row],[observation_date]])</f>
        <v>4</v>
      </c>
      <c r="E1187" t="str">
        <f t="shared" si="38"/>
        <v>No</v>
      </c>
    </row>
    <row r="1188" spans="1:5" hidden="1" x14ac:dyDescent="0.25">
      <c r="A1188" s="1">
        <v>46136</v>
      </c>
      <c r="B1188">
        <v>7165.08</v>
      </c>
      <c r="C1188" s="3">
        <f t="shared" si="37"/>
        <v>7.9736649597659526E-3</v>
      </c>
      <c r="D1188">
        <f>MONTH(tbl_SP500_Clean[[#This Row],[observation_date]])</f>
        <v>4</v>
      </c>
      <c r="E1188" t="str">
        <f t="shared" si="38"/>
        <v>No</v>
      </c>
    </row>
    <row r="1189" spans="1:5" hidden="1" x14ac:dyDescent="0.25">
      <c r="A1189" s="1">
        <v>46139</v>
      </c>
      <c r="B1189">
        <v>7173.91</v>
      </c>
      <c r="C1189" s="3">
        <f t="shared" si="37"/>
        <v>1.2323658633260099E-3</v>
      </c>
      <c r="D1189">
        <f>MONTH(tbl_SP500_Clean[[#This Row],[observation_date]])</f>
        <v>4</v>
      </c>
      <c r="E1189" t="str">
        <f t="shared" si="38"/>
        <v>No</v>
      </c>
    </row>
    <row r="1190" spans="1:5" hidden="1" x14ac:dyDescent="0.25">
      <c r="A1190" s="1">
        <v>46140</v>
      </c>
      <c r="B1190">
        <v>7138.8</v>
      </c>
      <c r="C1190" s="3">
        <f t="shared" si="37"/>
        <v>-4.8941232884158947E-3</v>
      </c>
      <c r="D1190">
        <f>MONTH(tbl_SP500_Clean[[#This Row],[observation_date]])</f>
        <v>4</v>
      </c>
      <c r="E1190" t="str">
        <f t="shared" si="38"/>
        <v>No</v>
      </c>
    </row>
    <row r="1191" spans="1:5" hidden="1" x14ac:dyDescent="0.25">
      <c r="A1191" s="1">
        <v>46141</v>
      </c>
      <c r="B1191">
        <v>7135.95</v>
      </c>
      <c r="C1191" s="3">
        <f t="shared" si="37"/>
        <v>-3.9922676080018541E-4</v>
      </c>
      <c r="D1191">
        <f>MONTH(tbl_SP500_Clean[[#This Row],[observation_date]])</f>
        <v>4</v>
      </c>
      <c r="E1191" t="str">
        <f t="shared" si="38"/>
        <v>No</v>
      </c>
    </row>
    <row r="1192" spans="1:5" x14ac:dyDescent="0.25">
      <c r="A1192" s="1">
        <v>46142</v>
      </c>
      <c r="B1192">
        <v>7209.01</v>
      </c>
      <c r="C1192" s="3">
        <f t="shared" si="37"/>
        <v>1.0238300436522173E-2</v>
      </c>
      <c r="D1192">
        <f>MONTH(tbl_SP500_Clean[[#This Row],[observation_date]])</f>
        <v>4</v>
      </c>
      <c r="E1192" t="str">
        <f t="shared" si="38"/>
        <v>Yes</v>
      </c>
    </row>
    <row r="1193" spans="1:5" hidden="1" x14ac:dyDescent="0.25">
      <c r="A1193" s="1">
        <v>46143</v>
      </c>
      <c r="B1193">
        <v>7230.12</v>
      </c>
      <c r="C1193" s="3">
        <f t="shared" si="37"/>
        <v>2.9282800273546122E-3</v>
      </c>
      <c r="D1193">
        <f>MONTH(tbl_SP500_Clean[[#This Row],[observation_date]])</f>
        <v>5</v>
      </c>
      <c r="E1193" t="str">
        <f t="shared" si="38"/>
        <v>No</v>
      </c>
    </row>
    <row r="1194" spans="1:5" hidden="1" x14ac:dyDescent="0.25">
      <c r="A1194" s="1">
        <v>46146</v>
      </c>
      <c r="B1194">
        <v>7200.75</v>
      </c>
      <c r="C1194" s="3">
        <f t="shared" si="37"/>
        <v>-4.0621732419378782E-3</v>
      </c>
      <c r="D1194">
        <f>MONTH(tbl_SP500_Clean[[#This Row],[observation_date]])</f>
        <v>5</v>
      </c>
      <c r="E1194" t="str">
        <f t="shared" si="38"/>
        <v>No</v>
      </c>
    </row>
    <row r="1195" spans="1:5" hidden="1" x14ac:dyDescent="0.25">
      <c r="A1195" s="1">
        <v>46147</v>
      </c>
      <c r="B1195">
        <v>7259.22</v>
      </c>
      <c r="C1195" s="3">
        <f t="shared" si="37"/>
        <v>8.1199875013019829E-3</v>
      </c>
      <c r="D1195">
        <f>MONTH(tbl_SP500_Clean[[#This Row],[observation_date]])</f>
        <v>5</v>
      </c>
      <c r="E1195" t="str">
        <f t="shared" si="38"/>
        <v>No</v>
      </c>
    </row>
    <row r="1196" spans="1:5" hidden="1" x14ac:dyDescent="0.25">
      <c r="A1196" s="1">
        <v>46148</v>
      </c>
      <c r="B1196">
        <v>7365.12</v>
      </c>
      <c r="C1196" s="3">
        <f t="shared" si="37"/>
        <v>1.4588344202269614E-2</v>
      </c>
      <c r="D1196">
        <f>MONTH(tbl_SP500_Clean[[#This Row],[observation_date]])</f>
        <v>5</v>
      </c>
      <c r="E1196" t="str">
        <f t="shared" si="38"/>
        <v>No</v>
      </c>
    </row>
    <row r="1197" spans="1:5" hidden="1" x14ac:dyDescent="0.25">
      <c r="A1197" s="1">
        <v>46149</v>
      </c>
      <c r="B1197">
        <v>7337.11</v>
      </c>
      <c r="C1197" s="3">
        <f t="shared" si="37"/>
        <v>-3.8030609141467102E-3</v>
      </c>
      <c r="D1197">
        <f>MONTH(tbl_SP500_Clean[[#This Row],[observation_date]])</f>
        <v>5</v>
      </c>
      <c r="E1197" t="str">
        <f t="shared" si="38"/>
        <v>No</v>
      </c>
    </row>
    <row r="1198" spans="1:5" hidden="1" x14ac:dyDescent="0.25">
      <c r="A1198" s="1">
        <v>46150</v>
      </c>
      <c r="B1198">
        <v>7398.93</v>
      </c>
      <c r="C1198" s="3">
        <f t="shared" si="37"/>
        <v>8.4256607846959659E-3</v>
      </c>
      <c r="D1198">
        <f>MONTH(tbl_SP500_Clean[[#This Row],[observation_date]])</f>
        <v>5</v>
      </c>
      <c r="E1198" t="str">
        <f t="shared" si="38"/>
        <v>No</v>
      </c>
    </row>
    <row r="1199" spans="1:5" hidden="1" x14ac:dyDescent="0.25">
      <c r="A1199" s="1">
        <v>46153</v>
      </c>
      <c r="B1199">
        <v>7412.84</v>
      </c>
      <c r="C1199" s="3">
        <f t="shared" si="37"/>
        <v>1.8800015677942425E-3</v>
      </c>
      <c r="D1199">
        <f>MONTH(tbl_SP500_Clean[[#This Row],[observation_date]])</f>
        <v>5</v>
      </c>
      <c r="E1199" t="str">
        <f t="shared" si="38"/>
        <v>No</v>
      </c>
    </row>
    <row r="1200" spans="1:5" hidden="1" x14ac:dyDescent="0.25">
      <c r="A1200" s="1">
        <v>46154</v>
      </c>
      <c r="B1200">
        <v>7400.96</v>
      </c>
      <c r="C1200" s="3">
        <f t="shared" si="37"/>
        <v>-1.6026246350926377E-3</v>
      </c>
      <c r="D1200">
        <f>MONTH(tbl_SP500_Clean[[#This Row],[observation_date]])</f>
        <v>5</v>
      </c>
      <c r="E1200" t="str">
        <f t="shared" si="38"/>
        <v>No</v>
      </c>
    </row>
    <row r="1201" spans="1:5" hidden="1" x14ac:dyDescent="0.25">
      <c r="A1201" s="1">
        <v>46155</v>
      </c>
      <c r="B1201">
        <v>7444.25</v>
      </c>
      <c r="C1201" s="3">
        <f t="shared" si="37"/>
        <v>5.8492411795226518E-3</v>
      </c>
      <c r="D1201">
        <f>MONTH(tbl_SP500_Clean[[#This Row],[observation_date]])</f>
        <v>5</v>
      </c>
      <c r="E1201" t="str">
        <f t="shared" si="38"/>
        <v>No</v>
      </c>
    </row>
    <row r="1202" spans="1:5" hidden="1" x14ac:dyDescent="0.25">
      <c r="A1202" s="1">
        <v>46156</v>
      </c>
      <c r="B1202">
        <v>7501.24</v>
      </c>
      <c r="C1202" s="3">
        <f t="shared" si="37"/>
        <v>7.6555730933270351E-3</v>
      </c>
      <c r="D1202">
        <f>MONTH(tbl_SP500_Clean[[#This Row],[observation_date]])</f>
        <v>5</v>
      </c>
      <c r="E1202" t="str">
        <f t="shared" si="38"/>
        <v>No</v>
      </c>
    </row>
    <row r="1203" spans="1:5" hidden="1" x14ac:dyDescent="0.25">
      <c r="A1203" s="1">
        <v>46157</v>
      </c>
      <c r="B1203">
        <v>7408.5</v>
      </c>
      <c r="C1203" s="3">
        <f t="shared" si="37"/>
        <v>-1.2363289269507412E-2</v>
      </c>
      <c r="D1203">
        <f>MONTH(tbl_SP500_Clean[[#This Row],[observation_date]])</f>
        <v>5</v>
      </c>
      <c r="E1203" t="str">
        <f t="shared" si="38"/>
        <v>No</v>
      </c>
    </row>
    <row r="1204" spans="1:5" hidden="1" x14ac:dyDescent="0.25">
      <c r="A1204" s="1">
        <v>46160</v>
      </c>
      <c r="B1204">
        <v>7403.05</v>
      </c>
      <c r="C1204" s="3">
        <f t="shared" si="37"/>
        <v>-7.3564149287977572E-4</v>
      </c>
      <c r="D1204">
        <f>MONTH(tbl_SP500_Clean[[#This Row],[observation_date]])</f>
        <v>5</v>
      </c>
      <c r="E1204" t="str">
        <f t="shared" si="38"/>
        <v>No</v>
      </c>
    </row>
    <row r="1205" spans="1:5" hidden="1" x14ac:dyDescent="0.25">
      <c r="A1205" s="1">
        <v>46161</v>
      </c>
      <c r="B1205">
        <v>7353.61</v>
      </c>
      <c r="C1205" s="3">
        <f t="shared" si="37"/>
        <v>-6.678328526755933E-3</v>
      </c>
      <c r="D1205">
        <f>MONTH(tbl_SP500_Clean[[#This Row],[observation_date]])</f>
        <v>5</v>
      </c>
      <c r="E1205" t="str">
        <f t="shared" si="38"/>
        <v>No</v>
      </c>
    </row>
    <row r="1206" spans="1:5" hidden="1" x14ac:dyDescent="0.25">
      <c r="A1206" s="1">
        <v>46162</v>
      </c>
      <c r="B1206">
        <v>7432.97</v>
      </c>
      <c r="C1206" s="3">
        <f t="shared" si="37"/>
        <v>1.0791978361648304E-2</v>
      </c>
      <c r="D1206">
        <f>MONTH(tbl_SP500_Clean[[#This Row],[observation_date]])</f>
        <v>5</v>
      </c>
      <c r="E1206" t="str">
        <f t="shared" si="38"/>
        <v>No</v>
      </c>
    </row>
    <row r="1207" spans="1:5" hidden="1" x14ac:dyDescent="0.25">
      <c r="A1207" s="1">
        <v>46163</v>
      </c>
      <c r="B1207">
        <v>7445.72</v>
      </c>
      <c r="C1207" s="3">
        <f t="shared" si="37"/>
        <v>1.7153304802790808E-3</v>
      </c>
      <c r="D1207">
        <f>MONTH(tbl_SP500_Clean[[#This Row],[observation_date]])</f>
        <v>5</v>
      </c>
      <c r="E1207" t="str">
        <f t="shared" si="38"/>
        <v>No</v>
      </c>
    </row>
    <row r="1208" spans="1:5" hidden="1" x14ac:dyDescent="0.25">
      <c r="A1208" s="1">
        <v>46164</v>
      </c>
      <c r="B1208">
        <v>7473.47</v>
      </c>
      <c r="C1208" s="3">
        <f t="shared" si="37"/>
        <v>3.7269733484471615E-3</v>
      </c>
      <c r="D1208">
        <f>MONTH(tbl_SP500_Clean[[#This Row],[observation_date]])</f>
        <v>5</v>
      </c>
      <c r="E1208" t="str">
        <f t="shared" si="38"/>
        <v>No</v>
      </c>
    </row>
    <row r="1209" spans="1:5" hidden="1" x14ac:dyDescent="0.25">
      <c r="A1209" s="1">
        <v>46167</v>
      </c>
      <c r="C1209">
        <f t="shared" si="37"/>
        <v>-1</v>
      </c>
      <c r="D1209">
        <f>MONTH(tbl_SP500_Clean[[#This Row],[observation_date]])</f>
        <v>5</v>
      </c>
      <c r="E1209" t="str">
        <f t="shared" si="38"/>
        <v>No</v>
      </c>
    </row>
    <row r="1210" spans="1:5" hidden="1" x14ac:dyDescent="0.25">
      <c r="A1210" s="1">
        <v>46168</v>
      </c>
      <c r="B1210">
        <v>7519.12</v>
      </c>
      <c r="C1210" s="3" t="e">
        <f t="shared" si="37"/>
        <v>#DIV/0!</v>
      </c>
      <c r="D1210">
        <f>MONTH(tbl_SP500_Clean[[#This Row],[observation_date]])</f>
        <v>5</v>
      </c>
      <c r="E1210" t="str">
        <f t="shared" si="38"/>
        <v>No</v>
      </c>
    </row>
    <row r="1211" spans="1:5" hidden="1" x14ac:dyDescent="0.25">
      <c r="A1211" s="1">
        <v>46169</v>
      </c>
      <c r="B1211">
        <v>7520.36</v>
      </c>
      <c r="C1211" s="3">
        <f t="shared" si="37"/>
        <v>1.6491291534112792E-4</v>
      </c>
      <c r="D1211">
        <f>MONTH(tbl_SP500_Clean[[#This Row],[observation_date]])</f>
        <v>5</v>
      </c>
      <c r="E1211" t="str">
        <f t="shared" si="38"/>
        <v>No</v>
      </c>
    </row>
    <row r="1212" spans="1:5" hidden="1" x14ac:dyDescent="0.25">
      <c r="A1212" s="1">
        <v>46170</v>
      </c>
      <c r="B1212">
        <v>7563.63</v>
      </c>
      <c r="C1212" s="3">
        <f t="shared" si="37"/>
        <v>5.7537139179507949E-3</v>
      </c>
      <c r="D1212">
        <f>MONTH(tbl_SP500_Clean[[#This Row],[observation_date]])</f>
        <v>5</v>
      </c>
      <c r="E1212" t="str">
        <f t="shared" si="38"/>
        <v>No</v>
      </c>
    </row>
    <row r="1213" spans="1:5" x14ac:dyDescent="0.25">
      <c r="A1213" s="1">
        <v>46171</v>
      </c>
      <c r="B1213">
        <v>7580.06</v>
      </c>
      <c r="C1213" s="3">
        <f t="shared" si="37"/>
        <v>2.1722374045267008E-3</v>
      </c>
      <c r="D1213">
        <f>MONTH(tbl_SP500_Clean[[#This Row],[observation_date]])</f>
        <v>5</v>
      </c>
      <c r="E1213" t="str">
        <f t="shared" si="38"/>
        <v>Yes</v>
      </c>
    </row>
    <row r="1214" spans="1:5" hidden="1" x14ac:dyDescent="0.25">
      <c r="A1214" s="1">
        <v>46174</v>
      </c>
      <c r="B1214">
        <v>7599.96</v>
      </c>
      <c r="C1214" s="3">
        <f t="shared" si="37"/>
        <v>2.6253090344930826E-3</v>
      </c>
      <c r="D1214">
        <f>MONTH(tbl_SP500_Clean[[#This Row],[observation_date]])</f>
        <v>6</v>
      </c>
      <c r="E1214" t="str">
        <f t="shared" si="38"/>
        <v>No</v>
      </c>
    </row>
    <row r="1215" spans="1:5" hidden="1" x14ac:dyDescent="0.25">
      <c r="A1215" s="1">
        <v>46175</v>
      </c>
      <c r="B1215">
        <v>7609.78</v>
      </c>
      <c r="C1215" s="3">
        <f t="shared" si="37"/>
        <v>1.2921120637476656E-3</v>
      </c>
      <c r="D1215">
        <f>MONTH(tbl_SP500_Clean[[#This Row],[observation_date]])</f>
        <v>6</v>
      </c>
      <c r="E1215" t="str">
        <f t="shared" si="38"/>
        <v>No</v>
      </c>
    </row>
    <row r="1216" spans="1:5" hidden="1" x14ac:dyDescent="0.25">
      <c r="A1216" s="1">
        <v>46176</v>
      </c>
      <c r="B1216">
        <v>7553.68</v>
      </c>
      <c r="C1216" s="3">
        <f t="shared" si="37"/>
        <v>-7.3720922286845949E-3</v>
      </c>
      <c r="D1216">
        <f>MONTH(tbl_SP500_Clean[[#This Row],[observation_date]])</f>
        <v>6</v>
      </c>
      <c r="E1216" t="str">
        <f t="shared" si="38"/>
        <v>No</v>
      </c>
    </row>
    <row r="1217" spans="1:5" hidden="1" x14ac:dyDescent="0.25">
      <c r="A1217" s="1">
        <v>46177</v>
      </c>
      <c r="B1217">
        <v>7584.31</v>
      </c>
      <c r="C1217" s="3">
        <f t="shared" si="37"/>
        <v>4.0549771766874038E-3</v>
      </c>
      <c r="D1217">
        <f>MONTH(tbl_SP500_Clean[[#This Row],[observation_date]])</f>
        <v>6</v>
      </c>
      <c r="E1217" t="str">
        <f t="shared" si="38"/>
        <v>No</v>
      </c>
    </row>
    <row r="1218" spans="1:5" hidden="1" x14ac:dyDescent="0.25">
      <c r="A1218" s="1">
        <v>46178</v>
      </c>
      <c r="B1218">
        <v>7383.74</v>
      </c>
      <c r="C1218" s="3">
        <f t="shared" ref="C1218:C1281" si="39">(B1218-B1217)/B1217</f>
        <v>-2.6445385275654688E-2</v>
      </c>
      <c r="D1218">
        <f>MONTH(tbl_SP500_Clean[[#This Row],[observation_date]])</f>
        <v>6</v>
      </c>
      <c r="E1218" t="str">
        <f t="shared" ref="E1218:E1281" si="40">IF(D1218&lt;&gt;D1219,"Yes","No")</f>
        <v>No</v>
      </c>
    </row>
    <row r="1219" spans="1:5" hidden="1" x14ac:dyDescent="0.25">
      <c r="A1219" s="1">
        <v>46181</v>
      </c>
      <c r="B1219">
        <v>7405.73</v>
      </c>
      <c r="C1219" s="3">
        <f t="shared" si="39"/>
        <v>2.978165536706301E-3</v>
      </c>
      <c r="D1219">
        <f>MONTH(tbl_SP500_Clean[[#This Row],[observation_date]])</f>
        <v>6</v>
      </c>
      <c r="E1219" t="str">
        <f t="shared" si="40"/>
        <v>No</v>
      </c>
    </row>
    <row r="1220" spans="1:5" hidden="1" x14ac:dyDescent="0.25">
      <c r="A1220" s="1">
        <v>46182</v>
      </c>
      <c r="B1220">
        <v>7386.65</v>
      </c>
      <c r="C1220" s="3">
        <f t="shared" si="39"/>
        <v>-2.5763834220259079E-3</v>
      </c>
      <c r="D1220">
        <f>MONTH(tbl_SP500_Clean[[#This Row],[observation_date]])</f>
        <v>6</v>
      </c>
      <c r="E1220" t="str">
        <f t="shared" si="40"/>
        <v>No</v>
      </c>
    </row>
    <row r="1221" spans="1:5" hidden="1" x14ac:dyDescent="0.25">
      <c r="A1221" s="1">
        <v>46183</v>
      </c>
      <c r="B1221">
        <v>7266.99</v>
      </c>
      <c r="C1221" s="3">
        <f t="shared" si="39"/>
        <v>-1.6199495034961701E-2</v>
      </c>
      <c r="D1221">
        <f>MONTH(tbl_SP500_Clean[[#This Row],[observation_date]])</f>
        <v>6</v>
      </c>
      <c r="E1221" t="str">
        <f t="shared" si="40"/>
        <v>No</v>
      </c>
    </row>
    <row r="1222" spans="1:5" hidden="1" x14ac:dyDescent="0.25">
      <c r="A1222" s="1">
        <v>46184</v>
      </c>
      <c r="B1222">
        <v>7394.3</v>
      </c>
      <c r="C1222" s="3">
        <f t="shared" si="39"/>
        <v>1.7518945257940413E-2</v>
      </c>
      <c r="D1222">
        <f>MONTH(tbl_SP500_Clean[[#This Row],[observation_date]])</f>
        <v>6</v>
      </c>
      <c r="E1222" t="str">
        <f t="shared" si="40"/>
        <v>No</v>
      </c>
    </row>
    <row r="1223" spans="1:5" hidden="1" x14ac:dyDescent="0.25">
      <c r="A1223" s="1">
        <v>46185</v>
      </c>
      <c r="B1223">
        <v>7431.46</v>
      </c>
      <c r="C1223" s="3">
        <f t="shared" si="39"/>
        <v>5.0254926091719103E-3</v>
      </c>
      <c r="D1223">
        <f>MONTH(tbl_SP500_Clean[[#This Row],[observation_date]])</f>
        <v>6</v>
      </c>
      <c r="E1223" t="str">
        <f t="shared" si="40"/>
        <v>No</v>
      </c>
    </row>
    <row r="1224" spans="1:5" hidden="1" x14ac:dyDescent="0.25">
      <c r="A1224" s="1">
        <v>46188</v>
      </c>
      <c r="B1224">
        <v>7554.29</v>
      </c>
      <c r="C1224" s="3">
        <f t="shared" si="39"/>
        <v>1.6528380695045111E-2</v>
      </c>
      <c r="D1224">
        <f>MONTH(tbl_SP500_Clean[[#This Row],[observation_date]])</f>
        <v>6</v>
      </c>
      <c r="E1224" t="str">
        <f t="shared" si="40"/>
        <v>No</v>
      </c>
    </row>
    <row r="1225" spans="1:5" hidden="1" x14ac:dyDescent="0.25">
      <c r="A1225" s="1">
        <v>46189</v>
      </c>
      <c r="B1225">
        <v>7511.35</v>
      </c>
      <c r="C1225" s="3">
        <f t="shared" si="39"/>
        <v>-5.6841873955063415E-3</v>
      </c>
      <c r="D1225">
        <f>MONTH(tbl_SP500_Clean[[#This Row],[observation_date]])</f>
        <v>6</v>
      </c>
      <c r="E1225" t="str">
        <f t="shared" si="40"/>
        <v>No</v>
      </c>
    </row>
    <row r="1226" spans="1:5" hidden="1" x14ac:dyDescent="0.25">
      <c r="A1226" s="1">
        <v>46190</v>
      </c>
      <c r="B1226">
        <v>7420.1</v>
      </c>
      <c r="C1226" s="3">
        <f t="shared" si="39"/>
        <v>-1.2148282266170528E-2</v>
      </c>
      <c r="D1226">
        <f>MONTH(tbl_SP500_Clean[[#This Row],[observation_date]])</f>
        <v>6</v>
      </c>
      <c r="E1226" t="str">
        <f t="shared" si="40"/>
        <v>No</v>
      </c>
    </row>
    <row r="1227" spans="1:5" hidden="1" x14ac:dyDescent="0.25">
      <c r="A1227" s="1">
        <v>46191</v>
      </c>
      <c r="B1227">
        <v>7500.58</v>
      </c>
      <c r="C1227" s="3">
        <f t="shared" si="39"/>
        <v>1.0846215010579313E-2</v>
      </c>
      <c r="D1227">
        <f>MONTH(tbl_SP500_Clean[[#This Row],[observation_date]])</f>
        <v>6</v>
      </c>
      <c r="E1227" t="str">
        <f t="shared" si="40"/>
        <v>No</v>
      </c>
    </row>
    <row r="1228" spans="1:5" hidden="1" x14ac:dyDescent="0.25">
      <c r="A1228" s="1">
        <v>46192</v>
      </c>
      <c r="C1228">
        <f t="shared" si="39"/>
        <v>-1</v>
      </c>
      <c r="D1228">
        <f>MONTH(tbl_SP500_Clean[[#This Row],[observation_date]])</f>
        <v>6</v>
      </c>
      <c r="E1228" t="str">
        <f t="shared" si="40"/>
        <v>No</v>
      </c>
    </row>
    <row r="1229" spans="1:5" hidden="1" x14ac:dyDescent="0.25">
      <c r="A1229" s="1">
        <v>46195</v>
      </c>
      <c r="B1229">
        <v>7472.79</v>
      </c>
      <c r="C1229" s="3" t="e">
        <f t="shared" si="39"/>
        <v>#DIV/0!</v>
      </c>
      <c r="D1229">
        <f>MONTH(tbl_SP500_Clean[[#This Row],[observation_date]])</f>
        <v>6</v>
      </c>
      <c r="E1229" t="str">
        <f t="shared" si="40"/>
        <v>No</v>
      </c>
    </row>
    <row r="1230" spans="1:5" hidden="1" x14ac:dyDescent="0.25">
      <c r="A1230" s="1">
        <v>46196</v>
      </c>
      <c r="B1230">
        <v>7365.46</v>
      </c>
      <c r="C1230" s="3">
        <f t="shared" si="39"/>
        <v>-1.4362774813690728E-2</v>
      </c>
      <c r="D1230">
        <f>MONTH(tbl_SP500_Clean[[#This Row],[observation_date]])</f>
        <v>6</v>
      </c>
      <c r="E1230" t="str">
        <f t="shared" si="40"/>
        <v>No</v>
      </c>
    </row>
    <row r="1231" spans="1:5" hidden="1" x14ac:dyDescent="0.25">
      <c r="A1231" s="1">
        <v>46197</v>
      </c>
      <c r="B1231">
        <v>7358.22</v>
      </c>
      <c r="C1231" s="3">
        <f t="shared" si="39"/>
        <v>-9.8296644065676568E-4</v>
      </c>
      <c r="D1231">
        <f>MONTH(tbl_SP500_Clean[[#This Row],[observation_date]])</f>
        <v>6</v>
      </c>
      <c r="E1231" t="str">
        <f t="shared" si="40"/>
        <v>No</v>
      </c>
    </row>
    <row r="1232" spans="1:5" hidden="1" x14ac:dyDescent="0.25">
      <c r="A1232" s="1">
        <v>46198</v>
      </c>
      <c r="B1232">
        <v>7357.49</v>
      </c>
      <c r="C1232" s="3">
        <f t="shared" si="39"/>
        <v>-9.9208776035572855E-5</v>
      </c>
      <c r="D1232">
        <f>MONTH(tbl_SP500_Clean[[#This Row],[observation_date]])</f>
        <v>6</v>
      </c>
      <c r="E1232" t="str">
        <f t="shared" si="40"/>
        <v>No</v>
      </c>
    </row>
    <row r="1233" spans="1:5" hidden="1" x14ac:dyDescent="0.25">
      <c r="A1233" s="1">
        <v>46199</v>
      </c>
      <c r="B1233">
        <v>7354.02</v>
      </c>
      <c r="C1233" s="3">
        <f t="shared" si="39"/>
        <v>-4.7162823191052185E-4</v>
      </c>
      <c r="D1233">
        <f>MONTH(tbl_SP500_Clean[[#This Row],[observation_date]])</f>
        <v>6</v>
      </c>
      <c r="E1233" t="str">
        <f t="shared" si="40"/>
        <v>No</v>
      </c>
    </row>
    <row r="1234" spans="1:5" hidden="1" x14ac:dyDescent="0.25">
      <c r="A1234" s="1">
        <v>46202</v>
      </c>
      <c r="B1234">
        <v>7440.43</v>
      </c>
      <c r="C1234" s="3">
        <f t="shared" si="39"/>
        <v>1.1750036034712967E-2</v>
      </c>
      <c r="D1234">
        <f>MONTH(tbl_SP500_Clean[[#This Row],[observation_date]])</f>
        <v>6</v>
      </c>
      <c r="E1234" t="str">
        <f t="shared" si="40"/>
        <v>No</v>
      </c>
    </row>
    <row r="1235" spans="1:5" x14ac:dyDescent="0.25">
      <c r="A1235" s="1">
        <v>46203</v>
      </c>
      <c r="B1235">
        <v>7499.36</v>
      </c>
      <c r="C1235" s="3">
        <f t="shared" si="39"/>
        <v>7.920241168857093E-3</v>
      </c>
      <c r="D1235">
        <f>MONTH(tbl_SP500_Clean[[#This Row],[observation_date]])</f>
        <v>6</v>
      </c>
      <c r="E1235" t="str">
        <f t="shared" si="40"/>
        <v>Yes</v>
      </c>
    </row>
    <row r="1236" spans="1:5" hidden="1" x14ac:dyDescent="0.25">
      <c r="A1236" s="1">
        <v>46204</v>
      </c>
      <c r="B1236">
        <v>7483.23</v>
      </c>
      <c r="C1236" s="3">
        <f t="shared" si="39"/>
        <v>-2.1508502058842499E-3</v>
      </c>
      <c r="D1236">
        <f>MONTH(tbl_SP500_Clean[[#This Row],[observation_date]])</f>
        <v>7</v>
      </c>
      <c r="E1236" t="str">
        <f t="shared" si="40"/>
        <v>No</v>
      </c>
    </row>
    <row r="1237" spans="1:5" hidden="1" x14ac:dyDescent="0.25">
      <c r="A1237" s="1">
        <v>46205</v>
      </c>
      <c r="B1237">
        <v>7483.24</v>
      </c>
      <c r="C1237" s="3">
        <f t="shared" si="39"/>
        <v>1.3363213478963335E-6</v>
      </c>
      <c r="D1237">
        <f>MONTH(tbl_SP500_Clean[[#This Row],[observation_date]])</f>
        <v>7</v>
      </c>
      <c r="E1237" t="str">
        <f t="shared" si="40"/>
        <v>No</v>
      </c>
    </row>
    <row r="1238" spans="1:5" hidden="1" x14ac:dyDescent="0.25">
      <c r="A1238" s="1">
        <v>46206</v>
      </c>
      <c r="C1238">
        <f t="shared" si="39"/>
        <v>-1</v>
      </c>
      <c r="D1238">
        <f>MONTH(tbl_SP500_Clean[[#This Row],[observation_date]])</f>
        <v>7</v>
      </c>
      <c r="E1238" t="str">
        <f t="shared" si="40"/>
        <v>No</v>
      </c>
    </row>
    <row r="1239" spans="1:5" hidden="1" x14ac:dyDescent="0.25">
      <c r="A1239" s="1">
        <v>46209</v>
      </c>
      <c r="B1239">
        <v>7537.43</v>
      </c>
      <c r="C1239" s="3" t="e">
        <f t="shared" si="39"/>
        <v>#DIV/0!</v>
      </c>
      <c r="D1239">
        <f>MONTH(tbl_SP500_Clean[[#This Row],[observation_date]])</f>
        <v>7</v>
      </c>
      <c r="E1239" t="str">
        <f t="shared" si="40"/>
        <v>No</v>
      </c>
    </row>
    <row r="1240" spans="1:5" hidden="1" x14ac:dyDescent="0.25">
      <c r="A1240" s="1">
        <v>46210</v>
      </c>
      <c r="B1240">
        <v>7503.85</v>
      </c>
      <c r="C1240" s="3">
        <f t="shared" si="39"/>
        <v>-4.45509941717534E-3</v>
      </c>
      <c r="D1240">
        <f>MONTH(tbl_SP500_Clean[[#This Row],[observation_date]])</f>
        <v>7</v>
      </c>
      <c r="E1240" t="str">
        <f t="shared" si="40"/>
        <v>No</v>
      </c>
    </row>
    <row r="1241" spans="1:5" hidden="1" x14ac:dyDescent="0.25">
      <c r="A1241" s="1">
        <v>46211</v>
      </c>
      <c r="B1241">
        <v>7482.71</v>
      </c>
      <c r="C1241" s="3">
        <f t="shared" si="39"/>
        <v>-2.8172204934800572E-3</v>
      </c>
      <c r="D1241">
        <f>MONTH(tbl_SP500_Clean[[#This Row],[observation_date]])</f>
        <v>7</v>
      </c>
      <c r="E1241" t="str">
        <f t="shared" si="40"/>
        <v>No</v>
      </c>
    </row>
    <row r="1242" spans="1:5" hidden="1" x14ac:dyDescent="0.25">
      <c r="A1242" s="1">
        <v>46212</v>
      </c>
      <c r="B1242">
        <v>7543.64</v>
      </c>
      <c r="C1242" s="3">
        <f t="shared" si="39"/>
        <v>8.1427718032638305E-3</v>
      </c>
      <c r="D1242">
        <f>MONTH(tbl_SP500_Clean[[#This Row],[observation_date]])</f>
        <v>7</v>
      </c>
      <c r="E1242" t="str">
        <f t="shared" si="40"/>
        <v>No</v>
      </c>
    </row>
    <row r="1243" spans="1:5" hidden="1" x14ac:dyDescent="0.25">
      <c r="A1243" s="1">
        <v>46213</v>
      </c>
      <c r="B1243">
        <v>7575.39</v>
      </c>
      <c r="C1243" s="3">
        <f t="shared" si="39"/>
        <v>4.2088434760937689E-3</v>
      </c>
      <c r="D1243">
        <f>MONTH(tbl_SP500_Clean[[#This Row],[observation_date]])</f>
        <v>7</v>
      </c>
      <c r="E1243" t="str">
        <f t="shared" si="40"/>
        <v>No</v>
      </c>
    </row>
    <row r="1244" spans="1:5" hidden="1" x14ac:dyDescent="0.25">
      <c r="A1244" s="1">
        <v>46216</v>
      </c>
      <c r="B1244">
        <v>7515.34</v>
      </c>
      <c r="C1244" s="3">
        <f t="shared" si="39"/>
        <v>-7.9269846172936552E-3</v>
      </c>
      <c r="D1244">
        <f>MONTH(tbl_SP500_Clean[[#This Row],[observation_date]])</f>
        <v>7</v>
      </c>
      <c r="E1244" t="str">
        <f t="shared" si="40"/>
        <v>No</v>
      </c>
    </row>
    <row r="1245" spans="1:5" hidden="1" x14ac:dyDescent="0.25">
      <c r="A1245" s="1">
        <v>46217</v>
      </c>
      <c r="B1245">
        <v>7543.59</v>
      </c>
      <c r="C1245" s="3">
        <f t="shared" si="39"/>
        <v>3.7589783030441736E-3</v>
      </c>
      <c r="D1245">
        <f>MONTH(tbl_SP500_Clean[[#This Row],[observation_date]])</f>
        <v>7</v>
      </c>
      <c r="E1245" t="str">
        <f t="shared" si="40"/>
        <v>No</v>
      </c>
    </row>
    <row r="1246" spans="1:5" hidden="1" x14ac:dyDescent="0.25">
      <c r="A1246" s="1">
        <v>46218</v>
      </c>
      <c r="B1246">
        <v>7572.4</v>
      </c>
      <c r="C1246" s="3">
        <f t="shared" si="39"/>
        <v>3.8191365119259516E-3</v>
      </c>
      <c r="D1246">
        <f>MONTH(tbl_SP500_Clean[[#This Row],[observation_date]])</f>
        <v>7</v>
      </c>
      <c r="E1246" t="str">
        <f t="shared" si="40"/>
        <v>No</v>
      </c>
    </row>
    <row r="1247" spans="1:5" hidden="1" x14ac:dyDescent="0.25">
      <c r="A1247" s="1">
        <v>46219</v>
      </c>
      <c r="B1247">
        <v>7533.77</v>
      </c>
      <c r="C1247" s="3">
        <f t="shared" si="39"/>
        <v>-5.1014209497648308E-3</v>
      </c>
      <c r="D1247">
        <f>MONTH(tbl_SP500_Clean[[#This Row],[observation_date]])</f>
        <v>7</v>
      </c>
      <c r="E1247" t="str">
        <f t="shared" si="40"/>
        <v>No</v>
      </c>
    </row>
    <row r="1248" spans="1:5" hidden="1" x14ac:dyDescent="0.25">
      <c r="A1248" s="1">
        <v>46220</v>
      </c>
      <c r="B1248">
        <v>7457.69</v>
      </c>
      <c r="C1248" s="3">
        <f t="shared" si="39"/>
        <v>-1.009852968699613E-2</v>
      </c>
      <c r="D1248">
        <f>MONTH(tbl_SP500_Clean[[#This Row],[observation_date]])</f>
        <v>7</v>
      </c>
      <c r="E1248" t="str">
        <f t="shared" si="40"/>
        <v>No</v>
      </c>
    </row>
    <row r="1249" spans="1:5" hidden="1" x14ac:dyDescent="0.25">
      <c r="A1249" s="1">
        <v>46223</v>
      </c>
      <c r="B1249">
        <v>7443.28</v>
      </c>
      <c r="C1249" s="3">
        <f t="shared" si="39"/>
        <v>-1.9322337077566721E-3</v>
      </c>
      <c r="D1249">
        <f>MONTH(tbl_SP500_Clean[[#This Row],[observation_date]])</f>
        <v>7</v>
      </c>
      <c r="E1249" t="str">
        <f t="shared" si="40"/>
        <v>No</v>
      </c>
    </row>
    <row r="1250" spans="1:5" hidden="1" x14ac:dyDescent="0.25">
      <c r="A1250" s="1">
        <v>46224</v>
      </c>
      <c r="B1250">
        <v>7509.2</v>
      </c>
      <c r="C1250" s="3">
        <f t="shared" si="39"/>
        <v>8.8563106587418554E-3</v>
      </c>
      <c r="D1250">
        <f>MONTH(tbl_SP500_Clean[[#This Row],[observation_date]])</f>
        <v>7</v>
      </c>
      <c r="E1250" t="str">
        <f t="shared" si="40"/>
        <v>No</v>
      </c>
    </row>
    <row r="1251" spans="1:5" hidden="1" x14ac:dyDescent="0.25">
      <c r="A1251" s="1">
        <v>46225</v>
      </c>
      <c r="B1251">
        <v>7498.96</v>
      </c>
      <c r="C1251" s="3">
        <f t="shared" si="39"/>
        <v>-1.3636605763596365E-3</v>
      </c>
      <c r="D1251">
        <f>MONTH(tbl_SP500_Clean[[#This Row],[observation_date]])</f>
        <v>7</v>
      </c>
      <c r="E1251" t="str">
        <f t="shared" si="40"/>
        <v>No</v>
      </c>
    </row>
    <row r="1252" spans="1:5" hidden="1" x14ac:dyDescent="0.25">
      <c r="A1252" s="1">
        <v>46226</v>
      </c>
      <c r="B1252">
        <v>7408.3</v>
      </c>
      <c r="C1252" s="3">
        <f t="shared" si="39"/>
        <v>-1.208967643513232E-2</v>
      </c>
      <c r="D1252">
        <f>MONTH(tbl_SP500_Clean[[#This Row],[observation_date]])</f>
        <v>7</v>
      </c>
      <c r="E1252" t="str">
        <f t="shared" si="40"/>
        <v>No</v>
      </c>
    </row>
    <row r="1253" spans="1:5" hidden="1" x14ac:dyDescent="0.25">
      <c r="A1253" s="1">
        <v>46227</v>
      </c>
      <c r="B1253">
        <v>7411.98</v>
      </c>
      <c r="C1253" s="3">
        <f t="shared" si="39"/>
        <v>4.9674014281270759E-4</v>
      </c>
      <c r="D1253">
        <f>MONTH(tbl_SP500_Clean[[#This Row],[observation_date]])</f>
        <v>7</v>
      </c>
      <c r="E1253" t="str">
        <f t="shared" si="40"/>
        <v>No</v>
      </c>
    </row>
    <row r="1254" spans="1:5" hidden="1" x14ac:dyDescent="0.25">
      <c r="A1254" s="1">
        <v>46230</v>
      </c>
      <c r="B1254">
        <v>7413.18</v>
      </c>
      <c r="C1254" s="3">
        <f t="shared" si="39"/>
        <v>1.6190005909361973E-4</v>
      </c>
      <c r="D1254">
        <f>MONTH(tbl_SP500_Clean[[#This Row],[observation_date]])</f>
        <v>7</v>
      </c>
      <c r="E1254" t="str">
        <f t="shared" si="40"/>
        <v>No</v>
      </c>
    </row>
    <row r="1255" spans="1:5" hidden="1" x14ac:dyDescent="0.25">
      <c r="A1255" s="1">
        <v>46231</v>
      </c>
      <c r="B1255">
        <v>7428.78</v>
      </c>
      <c r="C1255" s="3">
        <f t="shared" si="39"/>
        <v>2.1043600721956644E-3</v>
      </c>
      <c r="D1255">
        <f>MONTH(tbl_SP500_Clean[[#This Row],[observation_date]])</f>
        <v>7</v>
      </c>
      <c r="E1255" t="str">
        <f t="shared" si="40"/>
        <v>No</v>
      </c>
    </row>
    <row r="1256" spans="1:5" hidden="1" x14ac:dyDescent="0.25">
      <c r="A1256" s="1">
        <v>46232</v>
      </c>
      <c r="B1256">
        <v>7316.15</v>
      </c>
      <c r="C1256" s="3">
        <f t="shared" si="39"/>
        <v>-1.5161305086434127E-2</v>
      </c>
      <c r="D1256">
        <f>MONTH(tbl_SP500_Clean[[#This Row],[observation_date]])</f>
        <v>7</v>
      </c>
      <c r="E1256" t="str">
        <f t="shared" si="40"/>
        <v>No</v>
      </c>
    </row>
    <row r="1257" spans="1:5" hidden="1" x14ac:dyDescent="0.25">
      <c r="A1257" s="1">
        <v>46233</v>
      </c>
      <c r="B1257">
        <v>7437.63</v>
      </c>
      <c r="C1257" s="3">
        <f t="shared" si="39"/>
        <v>1.6604361583619866E-2</v>
      </c>
      <c r="D1257">
        <f>MONTH(tbl_SP500_Clean[[#This Row],[observation_date]])</f>
        <v>7</v>
      </c>
      <c r="E1257" t="str">
        <f t="shared" si="40"/>
        <v>No</v>
      </c>
    </row>
    <row r="1258" spans="1:5" x14ac:dyDescent="0.25">
      <c r="A1258" s="1">
        <v>46234</v>
      </c>
      <c r="B1258">
        <v>7489.72</v>
      </c>
      <c r="C1258" s="3">
        <f t="shared" si="39"/>
        <v>7.0035750635619341E-3</v>
      </c>
      <c r="D1258">
        <f>MONTH(tbl_SP500_Clean[[#This Row],[observation_date]])</f>
        <v>7</v>
      </c>
      <c r="E1258" t="str">
        <f t="shared" si="40"/>
        <v>Yes</v>
      </c>
    </row>
    <row r="1259" spans="1:5" hidden="1" x14ac:dyDescent="0.25">
      <c r="A1259" s="1">
        <v>46237</v>
      </c>
      <c r="B1259">
        <v>7600.5</v>
      </c>
      <c r="C1259" s="3">
        <f t="shared" si="39"/>
        <v>1.4790940115251269E-2</v>
      </c>
      <c r="D1259">
        <f>MONTH(tbl_SP500_Clean[[#This Row],[observation_date]])</f>
        <v>8</v>
      </c>
      <c r="E1259" t="str">
        <f t="shared" si="40"/>
        <v>No</v>
      </c>
    </row>
    <row r="1260" spans="1:5" hidden="1" x14ac:dyDescent="0.25">
      <c r="A1260" s="1">
        <v>46238</v>
      </c>
      <c r="B1260">
        <v>7736.52</v>
      </c>
      <c r="C1260" s="3">
        <f t="shared" si="39"/>
        <v>1.7896191040063212E-2</v>
      </c>
      <c r="D1260">
        <f>MONTH(tbl_SP500_Clean[[#This Row],[observation_date]])</f>
        <v>8</v>
      </c>
      <c r="E1260" t="str">
        <f t="shared" si="40"/>
        <v>No</v>
      </c>
    </row>
    <row r="1261" spans="1:5" hidden="1" x14ac:dyDescent="0.25">
      <c r="A1261" s="1">
        <v>46239</v>
      </c>
      <c r="B1261">
        <v>7723.55</v>
      </c>
      <c r="C1261" s="3">
        <f t="shared" si="39"/>
        <v>-1.6764643534819602E-3</v>
      </c>
      <c r="D1261">
        <f>MONTH(tbl_SP500_Clean[[#This Row],[observation_date]])</f>
        <v>8</v>
      </c>
      <c r="E1261" t="str">
        <f t="shared" si="40"/>
        <v>No</v>
      </c>
    </row>
    <row r="1262" spans="1:5" hidden="1" x14ac:dyDescent="0.25">
      <c r="A1262" s="1">
        <v>46240</v>
      </c>
      <c r="B1262">
        <v>7709.96</v>
      </c>
      <c r="C1262" s="3">
        <f t="shared" si="39"/>
        <v>-1.759553573162619E-3</v>
      </c>
      <c r="D1262">
        <f>MONTH(tbl_SP500_Clean[[#This Row],[observation_date]])</f>
        <v>8</v>
      </c>
      <c r="E1262" t="str">
        <f t="shared" si="40"/>
        <v>No</v>
      </c>
    </row>
    <row r="1263" spans="1:5" hidden="1" x14ac:dyDescent="0.25">
      <c r="A1263" s="1">
        <v>46241</v>
      </c>
      <c r="B1263">
        <v>7757.64</v>
      </c>
      <c r="C1263" s="3">
        <f t="shared" si="39"/>
        <v>6.1842084783838422E-3</v>
      </c>
      <c r="D1263">
        <f>MONTH(tbl_SP500_Clean[[#This Row],[observation_date]])</f>
        <v>8</v>
      </c>
      <c r="E1263" t="str">
        <f t="shared" si="40"/>
        <v>No</v>
      </c>
    </row>
    <row r="1264" spans="1:5" hidden="1" x14ac:dyDescent="0.25">
      <c r="A1264" s="1">
        <v>46244</v>
      </c>
      <c r="B1264">
        <v>7753.11</v>
      </c>
      <c r="C1264" s="3">
        <f t="shared" si="39"/>
        <v>-5.8394047674301141E-4</v>
      </c>
      <c r="D1264">
        <f>MONTH(tbl_SP500_Clean[[#This Row],[observation_date]])</f>
        <v>8</v>
      </c>
      <c r="E1264" t="str">
        <f t="shared" si="40"/>
        <v>No</v>
      </c>
    </row>
    <row r="1265" spans="1:5" hidden="1" x14ac:dyDescent="0.25">
      <c r="A1265" s="1">
        <v>46245</v>
      </c>
      <c r="B1265">
        <v>7728.2</v>
      </c>
      <c r="C1265" s="3">
        <f t="shared" si="39"/>
        <v>-3.2129042410077835E-3</v>
      </c>
      <c r="D1265">
        <f>MONTH(tbl_SP500_Clean[[#This Row],[observation_date]])</f>
        <v>8</v>
      </c>
      <c r="E1265" t="str">
        <f t="shared" si="40"/>
        <v>No</v>
      </c>
    </row>
    <row r="1266" spans="1:5" hidden="1" x14ac:dyDescent="0.25">
      <c r="A1266" s="1">
        <v>46246</v>
      </c>
      <c r="B1266">
        <v>7748.5</v>
      </c>
      <c r="C1266" s="3">
        <f t="shared" si="39"/>
        <v>2.6267436142957197E-3</v>
      </c>
      <c r="D1266">
        <f>MONTH(tbl_SP500_Clean[[#This Row],[observation_date]])</f>
        <v>8</v>
      </c>
      <c r="E1266" t="str">
        <f t="shared" si="40"/>
        <v>No</v>
      </c>
    </row>
    <row r="1267" spans="1:5" hidden="1" x14ac:dyDescent="0.25">
      <c r="A1267" s="1">
        <v>46247</v>
      </c>
      <c r="B1267">
        <v>7798.99</v>
      </c>
      <c r="C1267" s="3">
        <f t="shared" si="39"/>
        <v>6.5160998903013205E-3</v>
      </c>
      <c r="D1267">
        <f>MONTH(tbl_SP500_Clean[[#This Row],[observation_date]])</f>
        <v>8</v>
      </c>
      <c r="E1267" t="str">
        <f t="shared" si="40"/>
        <v>No</v>
      </c>
    </row>
    <row r="1268" spans="1:5" hidden="1" x14ac:dyDescent="0.25">
      <c r="A1268" s="1">
        <v>46248</v>
      </c>
      <c r="B1268">
        <v>7785.76</v>
      </c>
      <c r="C1268" s="3">
        <f t="shared" si="39"/>
        <v>-1.6963735047742803E-3</v>
      </c>
      <c r="D1268">
        <f>MONTH(tbl_SP500_Clean[[#This Row],[observation_date]])</f>
        <v>8</v>
      </c>
      <c r="E1268" t="str">
        <f t="shared" si="40"/>
        <v>No</v>
      </c>
    </row>
    <row r="1269" spans="1:5" hidden="1" x14ac:dyDescent="0.25">
      <c r="A1269" s="1">
        <v>46251</v>
      </c>
      <c r="B1269">
        <v>7745.06</v>
      </c>
      <c r="C1269" s="3">
        <f t="shared" si="39"/>
        <v>-5.2274922422473613E-3</v>
      </c>
      <c r="D1269">
        <f>MONTH(tbl_SP500_Clean[[#This Row],[observation_date]])</f>
        <v>8</v>
      </c>
      <c r="E1269" t="str">
        <f t="shared" si="40"/>
        <v>No</v>
      </c>
    </row>
    <row r="1270" spans="1:5" hidden="1" x14ac:dyDescent="0.25">
      <c r="A1270" s="1">
        <v>46252</v>
      </c>
      <c r="B1270">
        <v>7691.76</v>
      </c>
      <c r="C1270" s="3">
        <f t="shared" si="39"/>
        <v>-6.8818059511482387E-3</v>
      </c>
      <c r="D1270">
        <f>MONTH(tbl_SP500_Clean[[#This Row],[observation_date]])</f>
        <v>8</v>
      </c>
      <c r="E1270" t="str">
        <f t="shared" si="40"/>
        <v>No</v>
      </c>
    </row>
    <row r="1271" spans="1:5" hidden="1" x14ac:dyDescent="0.25">
      <c r="A1271" s="1">
        <v>46253</v>
      </c>
      <c r="B1271">
        <v>7707.98</v>
      </c>
      <c r="C1271" s="3">
        <f t="shared" si="39"/>
        <v>2.1087501430100972E-3</v>
      </c>
      <c r="D1271">
        <f>MONTH(tbl_SP500_Clean[[#This Row],[observation_date]])</f>
        <v>8</v>
      </c>
      <c r="E1271" t="str">
        <f t="shared" si="40"/>
        <v>No</v>
      </c>
    </row>
    <row r="1272" spans="1:5" hidden="1" x14ac:dyDescent="0.25">
      <c r="A1272" s="1">
        <v>46254</v>
      </c>
      <c r="B1272">
        <v>7641.16</v>
      </c>
      <c r="C1272" s="3">
        <f t="shared" si="39"/>
        <v>-8.6689379059104611E-3</v>
      </c>
      <c r="D1272">
        <f>MONTH(tbl_SP500_Clean[[#This Row],[observation_date]])</f>
        <v>8</v>
      </c>
      <c r="E1272" t="str">
        <f t="shared" si="40"/>
        <v>No</v>
      </c>
    </row>
    <row r="1273" spans="1:5" hidden="1" x14ac:dyDescent="0.25">
      <c r="A1273" s="1">
        <v>46255</v>
      </c>
      <c r="B1273">
        <v>7674.37</v>
      </c>
      <c r="C1273" s="3">
        <f t="shared" si="39"/>
        <v>4.3461987446932193E-3</v>
      </c>
      <c r="D1273">
        <f>MONTH(tbl_SP500_Clean[[#This Row],[observation_date]])</f>
        <v>8</v>
      </c>
      <c r="E1273" t="str">
        <f t="shared" si="40"/>
        <v>No</v>
      </c>
    </row>
    <row r="1274" spans="1:5" hidden="1" x14ac:dyDescent="0.25">
      <c r="A1274" s="1">
        <v>46258</v>
      </c>
      <c r="B1274">
        <v>7652.86</v>
      </c>
      <c r="C1274" s="3">
        <f t="shared" si="39"/>
        <v>-2.8028359331124532E-3</v>
      </c>
      <c r="D1274">
        <f>MONTH(tbl_SP500_Clean[[#This Row],[observation_date]])</f>
        <v>8</v>
      </c>
      <c r="E1274" t="str">
        <f t="shared" si="40"/>
        <v>No</v>
      </c>
    </row>
    <row r="1275" spans="1:5" hidden="1" x14ac:dyDescent="0.25">
      <c r="A1275" s="1">
        <v>46259</v>
      </c>
      <c r="B1275">
        <v>7677.28</v>
      </c>
      <c r="C1275" s="3">
        <f t="shared" si="39"/>
        <v>3.1909639010775153E-3</v>
      </c>
      <c r="D1275">
        <f>MONTH(tbl_SP500_Clean[[#This Row],[observation_date]])</f>
        <v>8</v>
      </c>
      <c r="E1275" t="str">
        <f t="shared" si="40"/>
        <v>No</v>
      </c>
    </row>
    <row r="1276" spans="1:5" hidden="1" x14ac:dyDescent="0.25">
      <c r="A1276" s="1">
        <v>46260</v>
      </c>
      <c r="B1276">
        <v>7675.7</v>
      </c>
      <c r="C1276" s="3">
        <f t="shared" si="39"/>
        <v>-2.0580205489443231E-4</v>
      </c>
      <c r="D1276">
        <f>MONTH(tbl_SP500_Clean[[#This Row],[observation_date]])</f>
        <v>8</v>
      </c>
      <c r="E1276" t="str">
        <f t="shared" si="40"/>
        <v>No</v>
      </c>
    </row>
    <row r="1277" spans="1:5" hidden="1" x14ac:dyDescent="0.25">
      <c r="A1277" s="1">
        <v>46261</v>
      </c>
      <c r="B1277">
        <v>7730.99</v>
      </c>
      <c r="C1277" s="3">
        <f t="shared" si="39"/>
        <v>7.2032518206808453E-3</v>
      </c>
      <c r="D1277">
        <f>MONTH(tbl_SP500_Clean[[#This Row],[observation_date]])</f>
        <v>8</v>
      </c>
      <c r="E1277" t="str">
        <f t="shared" si="40"/>
        <v>No</v>
      </c>
    </row>
    <row r="1278" spans="1:5" hidden="1" x14ac:dyDescent="0.25">
      <c r="A1278" s="1">
        <v>46262</v>
      </c>
      <c r="B1278">
        <v>7711.76</v>
      </c>
      <c r="C1278" s="3">
        <f t="shared" si="39"/>
        <v>-2.4873916535915275E-3</v>
      </c>
      <c r="D1278">
        <f>MONTH(tbl_SP500_Clean[[#This Row],[observation_date]])</f>
        <v>8</v>
      </c>
      <c r="E1278" t="str">
        <f t="shared" si="40"/>
        <v>No</v>
      </c>
    </row>
    <row r="1279" spans="1:5" x14ac:dyDescent="0.25">
      <c r="A1279" s="1">
        <v>46265</v>
      </c>
      <c r="B1279">
        <v>7686.14</v>
      </c>
      <c r="C1279" s="3">
        <f t="shared" si="39"/>
        <v>-3.3221988236148284E-3</v>
      </c>
      <c r="D1279">
        <f>MONTH(tbl_SP500_Clean[[#This Row],[observation_date]])</f>
        <v>8</v>
      </c>
      <c r="E1279" t="str">
        <f t="shared" si="40"/>
        <v>Yes</v>
      </c>
    </row>
    <row r="1280" spans="1:5" hidden="1" x14ac:dyDescent="0.25">
      <c r="A1280" s="1">
        <v>46266</v>
      </c>
      <c r="B1280">
        <v>7631.47</v>
      </c>
      <c r="C1280" s="3">
        <f t="shared" si="39"/>
        <v>-7.112803045481877E-3</v>
      </c>
      <c r="D1280">
        <f>MONTH(tbl_SP500_Clean[[#This Row],[observation_date]])</f>
        <v>9</v>
      </c>
      <c r="E1280" t="str">
        <f t="shared" si="40"/>
        <v>No</v>
      </c>
    </row>
    <row r="1281" spans="1:5" hidden="1" x14ac:dyDescent="0.25">
      <c r="A1281" s="1">
        <v>46267</v>
      </c>
      <c r="B1281">
        <v>7666.6</v>
      </c>
      <c r="C1281" s="3">
        <f t="shared" si="39"/>
        <v>4.6033070954875155E-3</v>
      </c>
      <c r="D1281">
        <f>MONTH(tbl_SP500_Clean[[#This Row],[observation_date]])</f>
        <v>9</v>
      </c>
      <c r="E1281" t="str">
        <f t="shared" si="40"/>
        <v>No</v>
      </c>
    </row>
    <row r="1282" spans="1:5" hidden="1" x14ac:dyDescent="0.25">
      <c r="A1282" s="1">
        <v>46268</v>
      </c>
      <c r="B1282">
        <v>7747.71</v>
      </c>
      <c r="C1282" s="3">
        <f t="shared" ref="C1282:C1306" si="41">(B1282-B1281)/B1281</f>
        <v>1.0579657214410516E-2</v>
      </c>
      <c r="D1282">
        <f>MONTH(tbl_SP500_Clean[[#This Row],[observation_date]])</f>
        <v>9</v>
      </c>
      <c r="E1282" t="str">
        <f t="shared" ref="E1282:E1306" si="42">IF(D1282&lt;&gt;D1283,"Yes","No")</f>
        <v>No</v>
      </c>
    </row>
    <row r="1283" spans="1:5" hidden="1" x14ac:dyDescent="0.25">
      <c r="A1283" s="1">
        <v>46269</v>
      </c>
      <c r="B1283">
        <v>7718.6</v>
      </c>
      <c r="C1283" s="3">
        <f t="shared" si="41"/>
        <v>-3.7572392358515834E-3</v>
      </c>
      <c r="D1283">
        <f>MONTH(tbl_SP500_Clean[[#This Row],[observation_date]])</f>
        <v>9</v>
      </c>
      <c r="E1283" t="str">
        <f t="shared" si="42"/>
        <v>No</v>
      </c>
    </row>
    <row r="1284" spans="1:5" hidden="1" x14ac:dyDescent="0.25">
      <c r="A1284" s="1">
        <v>46272</v>
      </c>
      <c r="C1284">
        <f t="shared" si="41"/>
        <v>-1</v>
      </c>
      <c r="D1284">
        <f>MONTH(tbl_SP500_Clean[[#This Row],[observation_date]])</f>
        <v>9</v>
      </c>
      <c r="E1284" t="str">
        <f t="shared" si="42"/>
        <v>No</v>
      </c>
    </row>
    <row r="1285" spans="1:5" hidden="1" x14ac:dyDescent="0.25">
      <c r="A1285" s="1">
        <v>46273</v>
      </c>
      <c r="B1285">
        <v>7673.52</v>
      </c>
      <c r="C1285" s="3" t="e">
        <f t="shared" si="41"/>
        <v>#DIV/0!</v>
      </c>
      <c r="D1285">
        <f>MONTH(tbl_SP500_Clean[[#This Row],[observation_date]])</f>
        <v>9</v>
      </c>
      <c r="E1285" t="str">
        <f t="shared" si="42"/>
        <v>No</v>
      </c>
    </row>
    <row r="1286" spans="1:5" hidden="1" x14ac:dyDescent="0.25">
      <c r="A1286" s="1">
        <v>46274</v>
      </c>
      <c r="B1286">
        <v>7636.36</v>
      </c>
      <c r="C1286" s="3">
        <f t="shared" si="41"/>
        <v>-4.8426276337327281E-3</v>
      </c>
      <c r="D1286">
        <f>MONTH(tbl_SP500_Clean[[#This Row],[observation_date]])</f>
        <v>9</v>
      </c>
      <c r="E1286" t="str">
        <f t="shared" si="42"/>
        <v>No</v>
      </c>
    </row>
    <row r="1287" spans="1:5" hidden="1" x14ac:dyDescent="0.25">
      <c r="A1287" s="1">
        <v>46275</v>
      </c>
      <c r="B1287">
        <v>7591.7</v>
      </c>
      <c r="C1287" s="3">
        <f t="shared" si="41"/>
        <v>-5.8483361182552753E-3</v>
      </c>
      <c r="D1287">
        <f>MONTH(tbl_SP500_Clean[[#This Row],[observation_date]])</f>
        <v>9</v>
      </c>
      <c r="E1287" t="str">
        <f t="shared" si="42"/>
        <v>No</v>
      </c>
    </row>
    <row r="1288" spans="1:5" hidden="1" x14ac:dyDescent="0.25">
      <c r="A1288" s="1">
        <v>46276</v>
      </c>
      <c r="B1288">
        <v>7656.98</v>
      </c>
      <c r="C1288" s="3">
        <f t="shared" si="41"/>
        <v>8.5988645494421197E-3</v>
      </c>
      <c r="D1288">
        <f>MONTH(tbl_SP500_Clean[[#This Row],[observation_date]])</f>
        <v>9</v>
      </c>
      <c r="E1288" t="str">
        <f t="shared" si="42"/>
        <v>No</v>
      </c>
    </row>
    <row r="1289" spans="1:5" hidden="1" x14ac:dyDescent="0.25">
      <c r="A1289" s="1">
        <v>46279</v>
      </c>
      <c r="B1289">
        <v>7619.98</v>
      </c>
      <c r="C1289" s="3">
        <f t="shared" si="41"/>
        <v>-4.8321923264785854E-3</v>
      </c>
      <c r="D1289">
        <f>MONTH(tbl_SP500_Clean[[#This Row],[observation_date]])</f>
        <v>9</v>
      </c>
      <c r="E1289" t="str">
        <f t="shared" si="42"/>
        <v>No</v>
      </c>
    </row>
    <row r="1290" spans="1:5" hidden="1" x14ac:dyDescent="0.25">
      <c r="A1290" s="1">
        <v>46280</v>
      </c>
      <c r="B1290">
        <v>7585.73</v>
      </c>
      <c r="C1290" s="3">
        <f t="shared" si="41"/>
        <v>-4.4947624534447603E-3</v>
      </c>
      <c r="D1290">
        <f>MONTH(tbl_SP500_Clean[[#This Row],[observation_date]])</f>
        <v>9</v>
      </c>
      <c r="E1290" t="str">
        <f t="shared" si="42"/>
        <v>No</v>
      </c>
    </row>
    <row r="1291" spans="1:5" hidden="1" x14ac:dyDescent="0.25">
      <c r="A1291" s="1">
        <v>46281</v>
      </c>
      <c r="B1291">
        <v>7551.81</v>
      </c>
      <c r="C1291" s="3">
        <f t="shared" si="41"/>
        <v>-4.4715538254062777E-3</v>
      </c>
      <c r="D1291">
        <f>MONTH(tbl_SP500_Clean[[#This Row],[observation_date]])</f>
        <v>9</v>
      </c>
      <c r="E1291" t="str">
        <f t="shared" si="42"/>
        <v>No</v>
      </c>
    </row>
    <row r="1292" spans="1:5" hidden="1" x14ac:dyDescent="0.25">
      <c r="A1292" s="1">
        <v>46282</v>
      </c>
      <c r="B1292">
        <v>7637.76</v>
      </c>
      <c r="C1292" s="3">
        <f t="shared" si="41"/>
        <v>1.1381377444612591E-2</v>
      </c>
      <c r="D1292">
        <f>MONTH(tbl_SP500_Clean[[#This Row],[observation_date]])</f>
        <v>9</v>
      </c>
      <c r="E1292" t="str">
        <f t="shared" si="42"/>
        <v>No</v>
      </c>
    </row>
    <row r="1293" spans="1:5" hidden="1" x14ac:dyDescent="0.25">
      <c r="A1293" s="1">
        <v>46283</v>
      </c>
      <c r="B1293">
        <v>7650.5</v>
      </c>
      <c r="C1293" s="3">
        <f t="shared" si="41"/>
        <v>1.6680283224400586E-3</v>
      </c>
      <c r="D1293">
        <f>MONTH(tbl_SP500_Clean[[#This Row],[observation_date]])</f>
        <v>9</v>
      </c>
      <c r="E1293" t="str">
        <f t="shared" si="42"/>
        <v>No</v>
      </c>
    </row>
    <row r="1294" spans="1:5" hidden="1" x14ac:dyDescent="0.25">
      <c r="A1294" s="1">
        <v>46286</v>
      </c>
      <c r="B1294">
        <v>7764.7</v>
      </c>
      <c r="C1294" s="3">
        <f t="shared" si="41"/>
        <v>1.492712894582051E-2</v>
      </c>
      <c r="D1294">
        <f>MONTH(tbl_SP500_Clean[[#This Row],[observation_date]])</f>
        <v>9</v>
      </c>
      <c r="E1294" t="str">
        <f t="shared" si="42"/>
        <v>No</v>
      </c>
    </row>
    <row r="1295" spans="1:5" hidden="1" x14ac:dyDescent="0.25">
      <c r="A1295" s="1">
        <v>46287</v>
      </c>
      <c r="B1295">
        <v>7764.64</v>
      </c>
      <c r="C1295" s="3">
        <f t="shared" si="41"/>
        <v>-7.7272785812060592E-6</v>
      </c>
      <c r="D1295">
        <f>MONTH(tbl_SP500_Clean[[#This Row],[observation_date]])</f>
        <v>9</v>
      </c>
      <c r="E1295" t="str">
        <f t="shared" si="42"/>
        <v>No</v>
      </c>
    </row>
    <row r="1296" spans="1:5" hidden="1" x14ac:dyDescent="0.25">
      <c r="A1296" s="1">
        <v>46288</v>
      </c>
      <c r="B1296">
        <v>7706.03</v>
      </c>
      <c r="C1296" s="3">
        <f t="shared" si="41"/>
        <v>-7.5483216221229289E-3</v>
      </c>
      <c r="D1296">
        <f>MONTH(tbl_SP500_Clean[[#This Row],[observation_date]])</f>
        <v>9</v>
      </c>
      <c r="E1296" t="str">
        <f t="shared" si="42"/>
        <v>No</v>
      </c>
    </row>
    <row r="1297" spans="1:5" hidden="1" x14ac:dyDescent="0.25">
      <c r="A1297" s="1">
        <v>46289</v>
      </c>
      <c r="B1297">
        <v>7704.13</v>
      </c>
      <c r="C1297" s="3">
        <f t="shared" si="41"/>
        <v>-2.4656016132815943E-4</v>
      </c>
      <c r="D1297">
        <f>MONTH(tbl_SP500_Clean[[#This Row],[observation_date]])</f>
        <v>9</v>
      </c>
      <c r="E1297" t="str">
        <f t="shared" si="42"/>
        <v>No</v>
      </c>
    </row>
    <row r="1298" spans="1:5" hidden="1" x14ac:dyDescent="0.25">
      <c r="A1298" s="1">
        <v>46290</v>
      </c>
      <c r="B1298">
        <v>7743.41</v>
      </c>
      <c r="C1298" s="3">
        <f t="shared" si="41"/>
        <v>5.0985640169622978E-3</v>
      </c>
      <c r="D1298">
        <f>MONTH(tbl_SP500_Clean[[#This Row],[observation_date]])</f>
        <v>9</v>
      </c>
      <c r="E1298" t="str">
        <f t="shared" si="42"/>
        <v>No</v>
      </c>
    </row>
    <row r="1299" spans="1:5" hidden="1" x14ac:dyDescent="0.25">
      <c r="A1299" s="1">
        <v>46293</v>
      </c>
      <c r="B1299">
        <v>7683.69</v>
      </c>
      <c r="C1299" s="3">
        <f t="shared" si="41"/>
        <v>-7.7123644492543024E-3</v>
      </c>
      <c r="D1299">
        <f>MONTH(tbl_SP500_Clean[[#This Row],[observation_date]])</f>
        <v>9</v>
      </c>
      <c r="E1299" t="str">
        <f t="shared" si="42"/>
        <v>No</v>
      </c>
    </row>
    <row r="1300" spans="1:5" hidden="1" x14ac:dyDescent="0.25">
      <c r="A1300" s="1">
        <v>46294</v>
      </c>
      <c r="B1300">
        <v>7670.84</v>
      </c>
      <c r="C1300" s="3">
        <f t="shared" si="41"/>
        <v>-1.6723735600993083E-3</v>
      </c>
      <c r="D1300">
        <f>MONTH(tbl_SP500_Clean[[#This Row],[observation_date]])</f>
        <v>9</v>
      </c>
      <c r="E1300" t="str">
        <f t="shared" si="42"/>
        <v>No</v>
      </c>
    </row>
    <row r="1301" spans="1:5" x14ac:dyDescent="0.25">
      <c r="A1301" s="1">
        <v>46295</v>
      </c>
      <c r="B1301">
        <v>7651.54</v>
      </c>
      <c r="C1301" s="3">
        <f t="shared" si="41"/>
        <v>-2.5160217133977742E-3</v>
      </c>
      <c r="D1301">
        <f>MONTH(tbl_SP500_Clean[[#This Row],[observation_date]])</f>
        <v>9</v>
      </c>
      <c r="E1301" t="str">
        <f t="shared" si="42"/>
        <v>Yes</v>
      </c>
    </row>
    <row r="1302" spans="1:5" hidden="1" x14ac:dyDescent="0.25">
      <c r="A1302" s="1">
        <v>46296</v>
      </c>
      <c r="B1302">
        <v>7666.45</v>
      </c>
      <c r="C1302" s="3">
        <f t="shared" si="41"/>
        <v>1.9486273351508134E-3</v>
      </c>
      <c r="D1302">
        <f>MONTH(tbl_SP500_Clean[[#This Row],[observation_date]])</f>
        <v>10</v>
      </c>
      <c r="E1302" t="str">
        <f t="shared" si="42"/>
        <v>No</v>
      </c>
    </row>
    <row r="1303" spans="1:5" hidden="1" x14ac:dyDescent="0.25">
      <c r="A1303" s="1">
        <v>46297</v>
      </c>
      <c r="B1303">
        <v>7722.72</v>
      </c>
      <c r="C1303" s="3">
        <f t="shared" si="41"/>
        <v>7.3397726457487414E-3</v>
      </c>
      <c r="D1303">
        <f>MONTH(tbl_SP500_Clean[[#This Row],[observation_date]])</f>
        <v>10</v>
      </c>
      <c r="E1303" t="str">
        <f t="shared" si="42"/>
        <v>No</v>
      </c>
    </row>
    <row r="1304" spans="1:5" hidden="1" x14ac:dyDescent="0.25">
      <c r="A1304" s="1">
        <v>46300</v>
      </c>
      <c r="B1304">
        <v>7773.95</v>
      </c>
      <c r="C1304" s="3">
        <f t="shared" si="41"/>
        <v>6.633673109992278E-3</v>
      </c>
      <c r="D1304">
        <f>MONTH(tbl_SP500_Clean[[#This Row],[observation_date]])</f>
        <v>10</v>
      </c>
      <c r="E1304" t="str">
        <f t="shared" si="42"/>
        <v>No</v>
      </c>
    </row>
    <row r="1305" spans="1:5" hidden="1" x14ac:dyDescent="0.25">
      <c r="A1305" s="1">
        <v>46301</v>
      </c>
      <c r="B1305">
        <v>7818.93</v>
      </c>
      <c r="C1305" s="3">
        <f t="shared" si="41"/>
        <v>5.7859903909853391E-3</v>
      </c>
      <c r="D1305">
        <f>MONTH(tbl_SP500_Clean[[#This Row],[observation_date]])</f>
        <v>10</v>
      </c>
      <c r="E1305" t="str">
        <f t="shared" si="42"/>
        <v>Yes</v>
      </c>
    </row>
    <row r="1306" spans="1:5" x14ac:dyDescent="0.25">
      <c r="A1306" s="1">
        <f>SUBTOTAL(9,H84)</f>
        <v>0</v>
      </c>
      <c r="B1306">
        <v>7801.77</v>
      </c>
      <c r="C1306" s="3">
        <f t="shared" si="41"/>
        <v>-2.1946736957614218E-3</v>
      </c>
      <c r="D1306">
        <f>MONTH(tbl_SP500_Clean[[#This Row],[observation_date]])</f>
        <v>1</v>
      </c>
      <c r="E1306" t="str">
        <f t="shared" si="42"/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0B55-671E-4D9C-B80B-A1FCB2122E36}">
  <dimension ref="A1:F60"/>
  <sheetViews>
    <sheetView workbookViewId="0">
      <selection activeCell="F3" sqref="F3"/>
    </sheetView>
  </sheetViews>
  <sheetFormatPr defaultRowHeight="15" x14ac:dyDescent="0.25"/>
  <cols>
    <col min="1" max="1" width="18.7109375" customWidth="1"/>
    <col min="2" max="2" width="8.5703125" bestFit="1" customWidth="1"/>
    <col min="3" max="3" width="17.7109375" style="3" bestFit="1" customWidth="1"/>
    <col min="4" max="4" width="19.7109375" style="5" bestFit="1" customWidth="1"/>
    <col min="5" max="5" width="28.7109375" bestFit="1" customWidth="1"/>
  </cols>
  <sheetData>
    <row r="1" spans="1:6" x14ac:dyDescent="0.25">
      <c r="A1" t="s">
        <v>0</v>
      </c>
      <c r="B1" t="s">
        <v>1</v>
      </c>
      <c r="C1" s="3" t="s">
        <v>5</v>
      </c>
      <c r="D1" s="5" t="s">
        <v>6</v>
      </c>
      <c r="E1" t="s">
        <v>18</v>
      </c>
    </row>
    <row r="2" spans="1:6" x14ac:dyDescent="0.25">
      <c r="A2" s="1">
        <v>44498</v>
      </c>
      <c r="B2">
        <v>4605.38</v>
      </c>
      <c r="D2" s="5">
        <v>1000</v>
      </c>
      <c r="E2" s="6">
        <f>Performance_Summary!$E$5*(B2/$B$2)</f>
        <v>200</v>
      </c>
    </row>
    <row r="3" spans="1:6" x14ac:dyDescent="0.25">
      <c r="A3" s="1">
        <v>44530</v>
      </c>
      <c r="B3">
        <v>4567</v>
      </c>
      <c r="C3" s="3">
        <f t="shared" ref="C3:C33" si="0">(B3-B2)/B2</f>
        <v>-8.3337314184714628E-3</v>
      </c>
      <c r="D3" s="5">
        <f>D2*(1+C3)</f>
        <v>991.66626858152847</v>
      </c>
      <c r="E3" s="6">
        <f>Performance_Summary!$E$5*(B3/$B$2)</f>
        <v>198.33325371630571</v>
      </c>
      <c r="F3" s="2">
        <f>(D16-D4)/D4</f>
        <v>-0.19442824232404177</v>
      </c>
    </row>
    <row r="4" spans="1:6" x14ac:dyDescent="0.25">
      <c r="A4" s="1">
        <v>44561</v>
      </c>
      <c r="B4">
        <v>4766.18</v>
      </c>
      <c r="C4" s="3">
        <f t="shared" si="0"/>
        <v>4.3612874972629799E-2</v>
      </c>
      <c r="D4" s="5">
        <f>D3*(1+C4)</f>
        <v>1034.9156855677491</v>
      </c>
      <c r="E4" s="6">
        <f>Performance_Summary!$E$5*(B4/$B$2)</f>
        <v>206.98313711354982</v>
      </c>
    </row>
    <row r="5" spans="1:6" x14ac:dyDescent="0.25">
      <c r="A5" s="1">
        <v>44592</v>
      </c>
      <c r="B5">
        <v>4515.55</v>
      </c>
      <c r="C5" s="3">
        <f t="shared" si="0"/>
        <v>-5.2585089106999758E-2</v>
      </c>
      <c r="D5" s="5">
        <f t="shared" ref="D5:D60" si="1">D4*(1+C5)</f>
        <v>980.49455202393722</v>
      </c>
      <c r="E5" s="6">
        <f>Performance_Summary!$E$5*(B5/$B$2)</f>
        <v>196.09891040478743</v>
      </c>
    </row>
    <row r="6" spans="1:6" x14ac:dyDescent="0.25">
      <c r="A6" s="1">
        <v>44620</v>
      </c>
      <c r="B6">
        <v>4373.9399999999996</v>
      </c>
      <c r="C6" s="3">
        <f t="shared" si="0"/>
        <v>-3.136052086678269E-2</v>
      </c>
      <c r="D6" s="5">
        <f t="shared" si="1"/>
        <v>949.74573216542387</v>
      </c>
      <c r="E6" s="6">
        <f>Performance_Summary!$E$5*(B6/$B$2)</f>
        <v>189.94914643308476</v>
      </c>
    </row>
    <row r="7" spans="1:6" x14ac:dyDescent="0.25">
      <c r="A7" s="1">
        <v>44651</v>
      </c>
      <c r="B7">
        <v>4530.41</v>
      </c>
      <c r="C7" s="3">
        <f t="shared" si="0"/>
        <v>3.5773238773279988E-2</v>
      </c>
      <c r="D7" s="5">
        <f t="shared" si="1"/>
        <v>983.72121301608126</v>
      </c>
      <c r="E7" s="6">
        <f>Performance_Summary!$E$5*(B7/$B$2)</f>
        <v>196.74424260321624</v>
      </c>
    </row>
    <row r="8" spans="1:6" x14ac:dyDescent="0.25">
      <c r="A8" s="1">
        <v>44680</v>
      </c>
      <c r="B8">
        <v>4131.93</v>
      </c>
      <c r="C8" s="3">
        <f t="shared" si="0"/>
        <v>-8.7956719149039395E-2</v>
      </c>
      <c r="D8" s="5">
        <f t="shared" si="1"/>
        <v>897.19632256187344</v>
      </c>
      <c r="E8" s="6">
        <f>Performance_Summary!$E$5*(B8/$B$2)</f>
        <v>179.43926451237468</v>
      </c>
    </row>
    <row r="9" spans="1:6" x14ac:dyDescent="0.25">
      <c r="A9" s="1">
        <v>44712</v>
      </c>
      <c r="B9">
        <v>4132.1499999999996</v>
      </c>
      <c r="C9" s="3">
        <f t="shared" si="0"/>
        <v>5.3243883608711947E-5</v>
      </c>
      <c r="D9" s="5">
        <f t="shared" si="1"/>
        <v>897.24409277844609</v>
      </c>
      <c r="E9" s="6">
        <f>Performance_Summary!$E$5*(B9/$B$2)</f>
        <v>179.4488185556892</v>
      </c>
    </row>
    <row r="10" spans="1:6" x14ac:dyDescent="0.25">
      <c r="A10" s="1">
        <v>44742</v>
      </c>
      <c r="B10">
        <v>3785.38</v>
      </c>
      <c r="C10" s="3">
        <f t="shared" si="0"/>
        <v>-8.391999322386641E-2</v>
      </c>
      <c r="D10" s="5">
        <f t="shared" si="1"/>
        <v>821.94737459232465</v>
      </c>
      <c r="E10" s="6">
        <f>Performance_Summary!$E$5*(B10/$B$2)</f>
        <v>164.38947491846491</v>
      </c>
    </row>
    <row r="11" spans="1:6" x14ac:dyDescent="0.25">
      <c r="A11" s="1">
        <v>44771</v>
      </c>
      <c r="B11">
        <v>4130.29</v>
      </c>
      <c r="C11" s="3">
        <f t="shared" si="0"/>
        <v>9.1116347632205968E-2</v>
      </c>
      <c r="D11" s="5">
        <f t="shared" si="1"/>
        <v>896.84021731105781</v>
      </c>
      <c r="E11" s="6">
        <f>Performance_Summary!$E$5*(B11/$B$2)</f>
        <v>179.36804346221157</v>
      </c>
    </row>
    <row r="12" spans="1:6" x14ac:dyDescent="0.25">
      <c r="A12" s="1">
        <v>44804</v>
      </c>
      <c r="B12">
        <v>3955</v>
      </c>
      <c r="C12" s="3">
        <f t="shared" si="0"/>
        <v>-4.2440119216810436E-2</v>
      </c>
      <c r="D12" s="5">
        <f t="shared" si="1"/>
        <v>858.77821156994628</v>
      </c>
      <c r="E12" s="6">
        <f>Performance_Summary!$E$5*(B12/$B$2)</f>
        <v>171.75564231398928</v>
      </c>
    </row>
    <row r="13" spans="1:6" x14ac:dyDescent="0.25">
      <c r="A13" s="1">
        <v>44834</v>
      </c>
      <c r="B13">
        <v>3585.62</v>
      </c>
      <c r="C13" s="3">
        <f t="shared" si="0"/>
        <v>-9.3395701643489287E-2</v>
      </c>
      <c r="D13" s="5">
        <f t="shared" si="1"/>
        <v>778.5720179442302</v>
      </c>
      <c r="E13" s="6">
        <f>Performance_Summary!$E$5*(B13/$B$2)</f>
        <v>155.71440358884607</v>
      </c>
    </row>
    <row r="14" spans="1:6" x14ac:dyDescent="0.25">
      <c r="A14" s="1">
        <v>44865</v>
      </c>
      <c r="B14">
        <v>3871.98</v>
      </c>
      <c r="C14" s="3">
        <f t="shared" si="0"/>
        <v>7.9863454576893297E-2</v>
      </c>
      <c r="D14" s="5">
        <f t="shared" si="1"/>
        <v>840.75146893415933</v>
      </c>
      <c r="E14" s="6">
        <f>Performance_Summary!$E$5*(B14/$B$2)</f>
        <v>168.15029378683192</v>
      </c>
    </row>
    <row r="15" spans="1:6" x14ac:dyDescent="0.25">
      <c r="A15" s="1">
        <v>44895</v>
      </c>
      <c r="B15">
        <v>4080.11</v>
      </c>
      <c r="C15" s="3">
        <f t="shared" si="0"/>
        <v>5.375286029369989E-2</v>
      </c>
      <c r="D15" s="5">
        <f t="shared" si="1"/>
        <v>885.94426518550017</v>
      </c>
      <c r="E15" s="6">
        <f>Performance_Summary!$E$5*(B15/$B$2)</f>
        <v>177.18885303710007</v>
      </c>
    </row>
    <row r="16" spans="1:6" x14ac:dyDescent="0.25">
      <c r="A16" s="1">
        <v>44925</v>
      </c>
      <c r="B16">
        <v>3839.5</v>
      </c>
      <c r="C16" s="3">
        <f t="shared" si="0"/>
        <v>-5.897144929916108E-2</v>
      </c>
      <c r="D16" s="5">
        <f t="shared" si="1"/>
        <v>833.69884786923092</v>
      </c>
      <c r="E16" s="6">
        <f>Performance_Summary!$E$5*(B16/$B$2)</f>
        <v>166.73976957384625</v>
      </c>
    </row>
    <row r="17" spans="1:5" x14ac:dyDescent="0.25">
      <c r="A17" s="1">
        <v>44957</v>
      </c>
      <c r="B17">
        <v>4076.6</v>
      </c>
      <c r="C17" s="3">
        <f t="shared" si="0"/>
        <v>6.1752832400052068E-2</v>
      </c>
      <c r="D17" s="5">
        <f t="shared" si="1"/>
        <v>885.18211309381604</v>
      </c>
      <c r="E17" s="6">
        <f>Performance_Summary!$E$5*(B17/$B$2)</f>
        <v>177.03642261876325</v>
      </c>
    </row>
    <row r="18" spans="1:5" x14ac:dyDescent="0.25">
      <c r="A18" s="1">
        <v>44985</v>
      </c>
      <c r="B18">
        <v>3970.15</v>
      </c>
      <c r="C18" s="3">
        <f t="shared" si="0"/>
        <v>-2.6112446646715356E-2</v>
      </c>
      <c r="D18" s="5">
        <f t="shared" si="1"/>
        <v>862.06784239302704</v>
      </c>
      <c r="E18" s="6">
        <f>Performance_Summary!$E$5*(B18/$B$2)</f>
        <v>172.41356847860544</v>
      </c>
    </row>
    <row r="19" spans="1:5" x14ac:dyDescent="0.25">
      <c r="A19" s="1">
        <v>45016</v>
      </c>
      <c r="B19">
        <v>4109.3100000000004</v>
      </c>
      <c r="C19" s="3">
        <f t="shared" si="0"/>
        <v>3.5051572358727079E-2</v>
      </c>
      <c r="D19" s="5">
        <f t="shared" si="1"/>
        <v>892.28467574879789</v>
      </c>
      <c r="E19" s="6">
        <f>Performance_Summary!$E$5*(B19/$B$2)</f>
        <v>178.45693514975963</v>
      </c>
    </row>
    <row r="20" spans="1:5" x14ac:dyDescent="0.25">
      <c r="A20" s="1">
        <v>45044</v>
      </c>
      <c r="B20">
        <v>4169.4799999999996</v>
      </c>
      <c r="C20" s="3">
        <f t="shared" si="0"/>
        <v>1.4642360882970416E-2</v>
      </c>
      <c r="D20" s="5">
        <f t="shared" si="1"/>
        <v>905.34982998145608</v>
      </c>
      <c r="E20" s="6">
        <f>Performance_Summary!$E$5*(B20/$B$2)</f>
        <v>181.06996599629127</v>
      </c>
    </row>
    <row r="21" spans="1:5" x14ac:dyDescent="0.25">
      <c r="A21" s="1">
        <v>45077</v>
      </c>
      <c r="B21">
        <v>4179.83</v>
      </c>
      <c r="C21" s="3">
        <f t="shared" si="0"/>
        <v>2.4823239348792572E-3</v>
      </c>
      <c r="D21" s="5">
        <f t="shared" si="1"/>
        <v>907.59720153385786</v>
      </c>
      <c r="E21" s="6">
        <f>Performance_Summary!$E$5*(B21/$B$2)</f>
        <v>181.51944030677163</v>
      </c>
    </row>
    <row r="22" spans="1:5" x14ac:dyDescent="0.25">
      <c r="A22" s="1">
        <v>45107</v>
      </c>
      <c r="B22">
        <v>4450.38</v>
      </c>
      <c r="C22" s="3">
        <f t="shared" si="0"/>
        <v>6.4727512841431398E-2</v>
      </c>
      <c r="D22" s="5">
        <f t="shared" si="1"/>
        <v>966.34371105098774</v>
      </c>
      <c r="E22" s="6">
        <f>Performance_Summary!$E$5*(B22/$B$2)</f>
        <v>193.26874221019764</v>
      </c>
    </row>
    <row r="23" spans="1:5" x14ac:dyDescent="0.25">
      <c r="A23" s="1">
        <v>45138</v>
      </c>
      <c r="B23">
        <v>4588.96</v>
      </c>
      <c r="C23" s="3">
        <f t="shared" si="0"/>
        <v>3.1138913980379185E-2</v>
      </c>
      <c r="D23" s="5">
        <f t="shared" si="1"/>
        <v>996.43460474488495</v>
      </c>
      <c r="E23" s="6">
        <f>Performance_Summary!$E$5*(B23/$B$2)</f>
        <v>199.28692094897707</v>
      </c>
    </row>
    <row r="24" spans="1:5" x14ac:dyDescent="0.25">
      <c r="A24" s="1">
        <v>45169</v>
      </c>
      <c r="B24">
        <v>4507.66</v>
      </c>
      <c r="C24" s="3">
        <f t="shared" si="0"/>
        <v>-1.7716432481433741E-2</v>
      </c>
      <c r="D24" s="5">
        <f t="shared" si="1"/>
        <v>978.78133834775804</v>
      </c>
      <c r="E24" s="6">
        <f>Performance_Summary!$E$5*(B24/$B$2)</f>
        <v>195.7562676695517</v>
      </c>
    </row>
    <row r="25" spans="1:5" x14ac:dyDescent="0.25">
      <c r="A25" s="1">
        <v>45198</v>
      </c>
      <c r="B25">
        <v>4288.05</v>
      </c>
      <c r="C25" s="3">
        <f t="shared" si="0"/>
        <v>-4.8719291162155016E-2</v>
      </c>
      <c r="D25" s="5">
        <f t="shared" si="1"/>
        <v>931.09580534070983</v>
      </c>
      <c r="E25" s="6">
        <f>Performance_Summary!$E$5*(B25/$B$2)</f>
        <v>186.21916106814206</v>
      </c>
    </row>
    <row r="26" spans="1:5" x14ac:dyDescent="0.25">
      <c r="A26" s="1">
        <v>45230</v>
      </c>
      <c r="B26">
        <v>4193.8</v>
      </c>
      <c r="C26" s="3">
        <f t="shared" si="0"/>
        <v>-2.1979687736850082E-2</v>
      </c>
      <c r="D26" s="5">
        <f t="shared" si="1"/>
        <v>910.63061028623008</v>
      </c>
      <c r="E26" s="6">
        <f>Performance_Summary!$E$5*(B26/$B$2)</f>
        <v>182.12612205724611</v>
      </c>
    </row>
    <row r="27" spans="1:5" x14ac:dyDescent="0.25">
      <c r="A27" s="1">
        <v>45260</v>
      </c>
      <c r="B27">
        <v>4567.8</v>
      </c>
      <c r="C27" s="3">
        <f t="shared" si="0"/>
        <v>8.9179264628737653E-2</v>
      </c>
      <c r="D27" s="5">
        <f t="shared" si="1"/>
        <v>991.83997845997476</v>
      </c>
      <c r="E27" s="6">
        <f>Performance_Summary!$E$5*(B27/$B$2)</f>
        <v>198.36799569199502</v>
      </c>
    </row>
    <row r="28" spans="1:5" x14ac:dyDescent="0.25">
      <c r="A28" s="1">
        <v>45289</v>
      </c>
      <c r="B28">
        <v>4769.83</v>
      </c>
      <c r="C28" s="3">
        <f t="shared" si="0"/>
        <v>4.4229169403213746E-2</v>
      </c>
      <c r="D28" s="5">
        <f t="shared" si="1"/>
        <v>1035.7082368881609</v>
      </c>
      <c r="E28" s="6">
        <f>Performance_Summary!$E$5*(B28/$B$2)</f>
        <v>207.14164737763224</v>
      </c>
    </row>
    <row r="29" spans="1:5" x14ac:dyDescent="0.25">
      <c r="A29" s="1">
        <v>45322</v>
      </c>
      <c r="B29">
        <v>4845.6499999999996</v>
      </c>
      <c r="C29" s="3">
        <f t="shared" si="0"/>
        <v>1.5895744712075631E-2</v>
      </c>
      <c r="D29" s="5">
        <f t="shared" si="1"/>
        <v>1052.171590617929</v>
      </c>
      <c r="E29" s="6">
        <f>Performance_Summary!$E$5*(B29/$B$2)</f>
        <v>210.43431812358588</v>
      </c>
    </row>
    <row r="30" spans="1:5" x14ac:dyDescent="0.25">
      <c r="A30" s="1">
        <v>45351</v>
      </c>
      <c r="B30">
        <v>5096.2700000000004</v>
      </c>
      <c r="C30" s="3">
        <f t="shared" si="0"/>
        <v>5.1720615397315289E-2</v>
      </c>
      <c r="D30" s="5">
        <f t="shared" si="1"/>
        <v>1106.5905527882605</v>
      </c>
      <c r="E30" s="6">
        <f>Performance_Summary!$E$5*(B30/$B$2)</f>
        <v>221.31811055765215</v>
      </c>
    </row>
    <row r="31" spans="1:5" x14ac:dyDescent="0.25">
      <c r="A31" s="1">
        <v>45412</v>
      </c>
      <c r="B31">
        <v>5035.6899999999996</v>
      </c>
      <c r="C31" s="3">
        <f t="shared" si="0"/>
        <v>-1.1887125289672807E-2</v>
      </c>
      <c r="D31" s="5">
        <f t="shared" si="1"/>
        <v>1093.4363722428982</v>
      </c>
      <c r="E31" s="6">
        <f>Performance_Summary!$E$5*(B31/$B$2)</f>
        <v>218.68727444857967</v>
      </c>
    </row>
    <row r="32" spans="1:5" x14ac:dyDescent="0.25">
      <c r="A32" s="1">
        <v>45443</v>
      </c>
      <c r="B32">
        <v>5277.51</v>
      </c>
      <c r="C32" s="3">
        <f t="shared" si="0"/>
        <v>4.8021224499522536E-2</v>
      </c>
      <c r="D32" s="5">
        <f t="shared" si="1"/>
        <v>1145.944525750318</v>
      </c>
      <c r="E32" s="6">
        <f>Performance_Summary!$E$5*(B32/$B$2)</f>
        <v>229.18890515006359</v>
      </c>
    </row>
    <row r="33" spans="1:5" x14ac:dyDescent="0.25">
      <c r="A33" s="1">
        <v>45471</v>
      </c>
      <c r="B33">
        <v>5460.48</v>
      </c>
      <c r="C33" s="3">
        <f t="shared" si="0"/>
        <v>3.4669759034089816E-2</v>
      </c>
      <c r="D33" s="5">
        <f t="shared" si="1"/>
        <v>1185.674146324516</v>
      </c>
      <c r="E33" s="6">
        <f>Performance_Summary!$E$5*(B33/$B$2)</f>
        <v>237.1348292649032</v>
      </c>
    </row>
    <row r="34" spans="1:5" x14ac:dyDescent="0.25">
      <c r="A34" s="1">
        <v>45504</v>
      </c>
      <c r="B34">
        <v>5522.3</v>
      </c>
      <c r="C34" s="3">
        <f t="shared" ref="C34:C60" si="2">(B34-B33)/B33</f>
        <v>1.1321349038912444E-2</v>
      </c>
      <c r="D34" s="5">
        <f t="shared" si="1"/>
        <v>1199.0975771814703</v>
      </c>
      <c r="E34" s="6">
        <f>Performance_Summary!$E$5*(B34/$B$2)</f>
        <v>239.8195154362941</v>
      </c>
    </row>
    <row r="35" spans="1:5" x14ac:dyDescent="0.25">
      <c r="A35" s="1">
        <v>45534</v>
      </c>
      <c r="B35">
        <v>5648.4</v>
      </c>
      <c r="C35" s="3">
        <f t="shared" si="2"/>
        <v>2.2834688445031861E-2</v>
      </c>
      <c r="D35" s="5">
        <f t="shared" si="1"/>
        <v>1226.4785967716018</v>
      </c>
      <c r="E35" s="6">
        <f>Performance_Summary!$E$5*(B35/$B$2)</f>
        <v>245.29571935432037</v>
      </c>
    </row>
    <row r="36" spans="1:5" x14ac:dyDescent="0.25">
      <c r="A36" s="1">
        <v>45565</v>
      </c>
      <c r="B36">
        <v>5762.48</v>
      </c>
      <c r="C36" s="3">
        <f t="shared" si="2"/>
        <v>2.0196869910063014E-2</v>
      </c>
      <c r="D36" s="5">
        <f t="shared" si="1"/>
        <v>1251.2496254380744</v>
      </c>
      <c r="E36" s="6">
        <f>Performance_Summary!$E$5*(B36/$B$2)</f>
        <v>250.24992508761491</v>
      </c>
    </row>
    <row r="37" spans="1:5" x14ac:dyDescent="0.25">
      <c r="A37" s="1">
        <v>45596</v>
      </c>
      <c r="B37">
        <v>5705.45</v>
      </c>
      <c r="C37" s="3">
        <f t="shared" si="2"/>
        <v>-9.896780552817494E-3</v>
      </c>
      <c r="D37" s="5">
        <f t="shared" si="1"/>
        <v>1238.8662824783187</v>
      </c>
      <c r="E37" s="6">
        <f>Performance_Summary!$E$5*(B37/$B$2)</f>
        <v>247.77325649566376</v>
      </c>
    </row>
    <row r="38" spans="1:5" x14ac:dyDescent="0.25">
      <c r="A38" s="1">
        <v>45625</v>
      </c>
      <c r="B38">
        <v>6032.38</v>
      </c>
      <c r="C38" s="3">
        <f t="shared" si="2"/>
        <v>5.7301352215863834E-2</v>
      </c>
      <c r="D38" s="5">
        <f t="shared" si="1"/>
        <v>1309.8549956789668</v>
      </c>
      <c r="E38" s="6">
        <f>Performance_Summary!$E$5*(B38/$B$2)</f>
        <v>261.97099913579336</v>
      </c>
    </row>
    <row r="39" spans="1:5" x14ac:dyDescent="0.25">
      <c r="A39" s="1">
        <v>45657</v>
      </c>
      <c r="B39">
        <v>5881.63</v>
      </c>
      <c r="C39" s="3">
        <f t="shared" si="2"/>
        <v>-2.4990136563014929E-2</v>
      </c>
      <c r="D39" s="5">
        <f t="shared" si="1"/>
        <v>1277.1215404592022</v>
      </c>
      <c r="E39" s="6">
        <f>Performance_Summary!$E$5*(B39/$B$2)</f>
        <v>255.4243080918404</v>
      </c>
    </row>
    <row r="40" spans="1:5" x14ac:dyDescent="0.25">
      <c r="A40" s="1">
        <v>45688</v>
      </c>
      <c r="B40">
        <v>6040.53</v>
      </c>
      <c r="C40" s="3">
        <f t="shared" si="2"/>
        <v>2.7016320305765517E-2</v>
      </c>
      <c r="D40" s="5">
        <f t="shared" si="1"/>
        <v>1311.6246650656408</v>
      </c>
      <c r="E40" s="6">
        <f>Performance_Summary!$E$5*(B40/$B$2)</f>
        <v>262.32493301312809</v>
      </c>
    </row>
    <row r="41" spans="1:5" x14ac:dyDescent="0.25">
      <c r="A41" s="1">
        <v>45716</v>
      </c>
      <c r="B41">
        <v>5954.5</v>
      </c>
      <c r="C41" s="3">
        <f t="shared" si="2"/>
        <v>-1.4242127760312381E-2</v>
      </c>
      <c r="D41" s="5">
        <f t="shared" si="1"/>
        <v>1292.944339012199</v>
      </c>
      <c r="E41" s="6">
        <f>Performance_Summary!$E$5*(B41/$B$2)</f>
        <v>258.58886780243978</v>
      </c>
    </row>
    <row r="42" spans="1:5" x14ac:dyDescent="0.25">
      <c r="A42" s="1">
        <v>45747</v>
      </c>
      <c r="B42">
        <v>5611.85</v>
      </c>
      <c r="C42" s="3">
        <f t="shared" si="2"/>
        <v>-5.7544714081786824E-2</v>
      </c>
      <c r="D42" s="5">
        <f t="shared" si="1"/>
        <v>1218.542226700077</v>
      </c>
      <c r="E42" s="6">
        <f>Performance_Summary!$E$5*(B42/$B$2)</f>
        <v>243.7084453400154</v>
      </c>
    </row>
    <row r="43" spans="1:5" x14ac:dyDescent="0.25">
      <c r="A43" s="1">
        <v>45777</v>
      </c>
      <c r="B43">
        <v>5569.06</v>
      </c>
      <c r="C43" s="3">
        <f t="shared" si="2"/>
        <v>-7.6249365182604594E-3</v>
      </c>
      <c r="D43" s="5">
        <f t="shared" si="1"/>
        <v>1209.250919576669</v>
      </c>
      <c r="E43" s="6">
        <f>Performance_Summary!$E$5*(B43/$B$2)</f>
        <v>241.85018391533384</v>
      </c>
    </row>
    <row r="44" spans="1:5" x14ac:dyDescent="0.25">
      <c r="A44" s="1">
        <v>45807</v>
      </c>
      <c r="B44">
        <v>5911.69</v>
      </c>
      <c r="C44" s="3">
        <f t="shared" si="2"/>
        <v>6.1523847830693E-2</v>
      </c>
      <c r="D44" s="5">
        <f t="shared" si="1"/>
        <v>1283.6486891418297</v>
      </c>
      <c r="E44" s="6">
        <f>Performance_Summary!$E$5*(B44/$B$2)</f>
        <v>256.72973782836596</v>
      </c>
    </row>
    <row r="45" spans="1:5" x14ac:dyDescent="0.25">
      <c r="A45" s="1">
        <v>45838</v>
      </c>
      <c r="B45">
        <v>6204.95</v>
      </c>
      <c r="C45" s="3">
        <f t="shared" si="2"/>
        <v>4.9606796026178679E-2</v>
      </c>
      <c r="D45" s="5">
        <f t="shared" si="1"/>
        <v>1347.3263878333598</v>
      </c>
      <c r="E45" s="6">
        <f>Performance_Summary!$E$5*(B45/$B$2)</f>
        <v>269.465277566672</v>
      </c>
    </row>
    <row r="46" spans="1:5" x14ac:dyDescent="0.25">
      <c r="A46" s="1">
        <v>45869</v>
      </c>
      <c r="B46">
        <v>6339.39</v>
      </c>
      <c r="C46" s="3">
        <f t="shared" si="2"/>
        <v>2.1666572655702383E-2</v>
      </c>
      <c r="D46" s="5">
        <f t="shared" si="1"/>
        <v>1376.5183329062963</v>
      </c>
      <c r="E46" s="6">
        <f>Performance_Summary!$E$5*(B46/$B$2)</f>
        <v>275.30366658125934</v>
      </c>
    </row>
    <row r="47" spans="1:5" x14ac:dyDescent="0.25">
      <c r="A47" s="1">
        <v>45898</v>
      </c>
      <c r="B47">
        <v>6460.26</v>
      </c>
      <c r="C47" s="3">
        <f t="shared" si="2"/>
        <v>1.9066503244002955E-2</v>
      </c>
      <c r="D47" s="5">
        <f t="shared" si="1"/>
        <v>1402.7637241660836</v>
      </c>
      <c r="E47" s="6">
        <f>Performance_Summary!$E$5*(B47/$B$2)</f>
        <v>280.55274483321682</v>
      </c>
    </row>
    <row r="48" spans="1:5" x14ac:dyDescent="0.25">
      <c r="A48" s="1">
        <v>45930</v>
      </c>
      <c r="B48">
        <v>6688.46</v>
      </c>
      <c r="C48" s="3">
        <f t="shared" si="2"/>
        <v>3.5323655704259549E-2</v>
      </c>
      <c r="D48" s="5">
        <f t="shared" si="1"/>
        <v>1452.3144669929513</v>
      </c>
      <c r="E48" s="6">
        <f>Performance_Summary!$E$5*(B48/$B$2)</f>
        <v>290.46289339859032</v>
      </c>
    </row>
    <row r="49" spans="1:5" x14ac:dyDescent="0.25">
      <c r="A49" s="1">
        <v>45961</v>
      </c>
      <c r="B49">
        <v>6840.2</v>
      </c>
      <c r="C49" s="3">
        <f t="shared" si="2"/>
        <v>2.268683673072722E-2</v>
      </c>
      <c r="D49" s="5">
        <f t="shared" si="1"/>
        <v>1485.2628881872934</v>
      </c>
      <c r="E49" s="6">
        <f>Performance_Summary!$E$5*(B49/$B$2)</f>
        <v>297.0525776374588</v>
      </c>
    </row>
    <row r="50" spans="1:5" x14ac:dyDescent="0.25">
      <c r="A50" s="1">
        <v>45989</v>
      </c>
      <c r="B50">
        <v>6849.09</v>
      </c>
      <c r="C50" s="3">
        <f t="shared" si="2"/>
        <v>1.2996696003041326E-3</v>
      </c>
      <c r="D50" s="5">
        <f t="shared" si="1"/>
        <v>1487.1932392115302</v>
      </c>
      <c r="E50" s="6">
        <f>Performance_Summary!$E$5*(B50/$B$2)</f>
        <v>297.43864784230618</v>
      </c>
    </row>
    <row r="51" spans="1:5" x14ac:dyDescent="0.25">
      <c r="A51" s="1">
        <v>46022</v>
      </c>
      <c r="B51">
        <v>6845.5</v>
      </c>
      <c r="C51" s="3">
        <f t="shared" si="2"/>
        <v>-5.2415722380639554E-4</v>
      </c>
      <c r="D51" s="5">
        <f t="shared" si="1"/>
        <v>1486.4137161320016</v>
      </c>
      <c r="E51" s="6">
        <f>Performance_Summary!$E$5*(B51/$B$2)</f>
        <v>297.28274322640044</v>
      </c>
    </row>
    <row r="52" spans="1:5" x14ac:dyDescent="0.25">
      <c r="A52" s="1">
        <v>46052</v>
      </c>
      <c r="B52">
        <v>6939.03</v>
      </c>
      <c r="C52" s="3">
        <f t="shared" si="2"/>
        <v>1.3662990285589037E-2</v>
      </c>
      <c r="D52" s="5">
        <f t="shared" si="1"/>
        <v>1506.7225722958792</v>
      </c>
      <c r="E52" s="6">
        <f>Performance_Summary!$E$5*(B52/$B$2)</f>
        <v>301.34451445917597</v>
      </c>
    </row>
    <row r="53" spans="1:5" x14ac:dyDescent="0.25">
      <c r="A53" s="1">
        <v>46080</v>
      </c>
      <c r="B53">
        <v>6878.88</v>
      </c>
      <c r="C53" s="3">
        <f t="shared" si="2"/>
        <v>-8.6683585457909308E-3</v>
      </c>
      <c r="D53" s="5">
        <f t="shared" si="1"/>
        <v>1493.6617608101822</v>
      </c>
      <c r="E53" s="6">
        <f>Performance_Summary!$E$5*(B53/$B$2)</f>
        <v>298.73235216203653</v>
      </c>
    </row>
    <row r="54" spans="1:5" x14ac:dyDescent="0.25">
      <c r="A54" s="1">
        <v>46112</v>
      </c>
      <c r="B54">
        <v>6528.52</v>
      </c>
      <c r="C54" s="3">
        <f t="shared" si="2"/>
        <v>-5.0932709976042566E-2</v>
      </c>
      <c r="D54" s="5">
        <f t="shared" si="1"/>
        <v>1417.585519544532</v>
      </c>
      <c r="E54" s="6">
        <f>Performance_Summary!$E$5*(B54/$B$2)</f>
        <v>283.51710390890656</v>
      </c>
    </row>
    <row r="55" spans="1:5" x14ac:dyDescent="0.25">
      <c r="A55" s="1">
        <v>46142</v>
      </c>
      <c r="B55">
        <v>7209.01</v>
      </c>
      <c r="C55" s="3">
        <f t="shared" si="2"/>
        <v>0.10423342503354509</v>
      </c>
      <c r="D55" s="5">
        <f t="shared" si="1"/>
        <v>1565.3453135246159</v>
      </c>
      <c r="E55" s="6">
        <f>Performance_Summary!$E$5*(B55/$B$2)</f>
        <v>313.0690627049234</v>
      </c>
    </row>
    <row r="56" spans="1:5" x14ac:dyDescent="0.25">
      <c r="A56" s="1">
        <v>46171</v>
      </c>
      <c r="B56">
        <v>7580.06</v>
      </c>
      <c r="C56" s="3">
        <f t="shared" si="2"/>
        <v>5.147031284462085E-2</v>
      </c>
      <c r="D56" s="5">
        <f t="shared" si="1"/>
        <v>1645.914126521589</v>
      </c>
      <c r="E56" s="6">
        <f>Performance_Summary!$E$5*(B56/$B$2)</f>
        <v>329.18282530431799</v>
      </c>
    </row>
    <row r="57" spans="1:5" x14ac:dyDescent="0.25">
      <c r="A57" s="1">
        <v>46203</v>
      </c>
      <c r="B57">
        <v>7499.36</v>
      </c>
      <c r="C57" s="3">
        <f t="shared" si="2"/>
        <v>-1.0646353722793846E-2</v>
      </c>
      <c r="D57" s="5">
        <f t="shared" si="1"/>
        <v>1628.3911425332967</v>
      </c>
      <c r="E57" s="6">
        <f>Performance_Summary!$E$5*(B57/$B$2)</f>
        <v>325.67822850665959</v>
      </c>
    </row>
    <row r="58" spans="1:5" x14ac:dyDescent="0.25">
      <c r="A58" s="1">
        <v>46234</v>
      </c>
      <c r="B58">
        <v>7489.72</v>
      </c>
      <c r="C58" s="3">
        <f t="shared" si="2"/>
        <v>-1.2854430244713441E-3</v>
      </c>
      <c r="D58" s="5">
        <f t="shared" si="1"/>
        <v>1626.2979384980165</v>
      </c>
      <c r="E58" s="6">
        <f>Performance_Summary!$E$5*(B58/$B$2)</f>
        <v>325.25958769960351</v>
      </c>
    </row>
    <row r="59" spans="1:5" x14ac:dyDescent="0.25">
      <c r="A59" s="1">
        <v>46265</v>
      </c>
      <c r="B59">
        <v>7686.14</v>
      </c>
      <c r="C59" s="3">
        <f t="shared" si="2"/>
        <v>2.6225279449699063E-2</v>
      </c>
      <c r="D59" s="5">
        <f t="shared" si="1"/>
        <v>1668.9480564035966</v>
      </c>
      <c r="E59" s="6">
        <f>Performance_Summary!$E$5*(B59/$B$2)</f>
        <v>333.78961128071955</v>
      </c>
    </row>
    <row r="60" spans="1:5" x14ac:dyDescent="0.25">
      <c r="A60" s="1">
        <v>46295</v>
      </c>
      <c r="B60">
        <v>7651.54</v>
      </c>
      <c r="C60" s="3">
        <f t="shared" si="2"/>
        <v>-4.5016093904092771E-3</v>
      </c>
      <c r="D60" s="5">
        <f t="shared" si="1"/>
        <v>1661.4351041607849</v>
      </c>
      <c r="E60" s="6">
        <f>Performance_Summary!$E$5*(B60/$B$2)</f>
        <v>332.28702083215717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761B-0CF4-4D90-A5D7-1544E11D4C10}">
  <dimension ref="A1:L61"/>
  <sheetViews>
    <sheetView workbookViewId="0">
      <selection activeCell="J5" sqref="J5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" bestFit="1" customWidth="1"/>
    <col min="4" max="4" width="9" bestFit="1" customWidth="1"/>
    <col min="5" max="5" width="8.5703125" bestFit="1" customWidth="1"/>
    <col min="6" max="6" width="12" bestFit="1" customWidth="1"/>
    <col min="7" max="7" width="17.7109375" style="3" bestFit="1" customWidth="1"/>
    <col min="9" max="9" width="21.140625" bestFit="1" customWidth="1"/>
    <col min="10" max="10" width="12" bestFit="1" customWidth="1"/>
  </cols>
  <sheetData>
    <row r="1" spans="1:12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s="3" t="s">
        <v>5</v>
      </c>
    </row>
    <row r="2" spans="1:12" x14ac:dyDescent="0.25">
      <c r="A2" s="1">
        <v>44500</v>
      </c>
      <c r="B2">
        <v>377.16300000000001</v>
      </c>
      <c r="C2">
        <v>402.19299999999998</v>
      </c>
      <c r="D2">
        <v>373.108</v>
      </c>
      <c r="E2">
        <v>401.85599999999999</v>
      </c>
      <c r="F2">
        <v>98638767.751510993</v>
      </c>
      <c r="I2" t="s">
        <v>8</v>
      </c>
      <c r="J2" s="5">
        <v>1000</v>
      </c>
    </row>
    <row r="3" spans="1:12" x14ac:dyDescent="0.25">
      <c r="A3" s="1">
        <v>44530</v>
      </c>
      <c r="B3">
        <v>402.82499999999999</v>
      </c>
      <c r="C3">
        <v>414.46300000000002</v>
      </c>
      <c r="D3">
        <v>398.49299999999999</v>
      </c>
      <c r="E3">
        <v>398.90600000000001</v>
      </c>
      <c r="F3">
        <v>105319201.47849999</v>
      </c>
      <c r="G3" s="3">
        <f t="shared" ref="G3:G33" si="0">E3/E2-1</f>
        <v>-7.3409380474597219E-3</v>
      </c>
      <c r="I3" t="s">
        <v>9</v>
      </c>
      <c r="J3" s="5">
        <f>J2+((E61-E2)/E2)*J2</f>
        <v>1744.0575728619208</v>
      </c>
      <c r="L3">
        <f>E61-E2</f>
        <v>299.00400000000002</v>
      </c>
    </row>
    <row r="4" spans="1:12" x14ac:dyDescent="0.25">
      <c r="A4" s="1">
        <v>44561</v>
      </c>
      <c r="B4">
        <v>404.05099999999999</v>
      </c>
      <c r="C4">
        <v>420.714</v>
      </c>
      <c r="D4">
        <v>392.91300000000001</v>
      </c>
      <c r="E4">
        <v>417.09</v>
      </c>
      <c r="F4">
        <v>149421054.20335999</v>
      </c>
      <c r="G4" s="3">
        <f t="shared" si="0"/>
        <v>4.5584674083618548E-2</v>
      </c>
      <c r="I4" t="s">
        <v>10</v>
      </c>
      <c r="J4" s="6">
        <f>J3-J2</f>
        <v>744.05757286192079</v>
      </c>
    </row>
    <row r="5" spans="1:12" x14ac:dyDescent="0.25">
      <c r="A5" s="1">
        <v>44592</v>
      </c>
      <c r="B5">
        <v>418.392</v>
      </c>
      <c r="C5">
        <v>421.57600000000002</v>
      </c>
      <c r="D5">
        <v>369.58</v>
      </c>
      <c r="E5">
        <v>395.23200000000003</v>
      </c>
      <c r="F5">
        <v>219224225.59599999</v>
      </c>
      <c r="G5" s="3">
        <f t="shared" si="0"/>
        <v>-5.2405955549161942E-2</v>
      </c>
      <c r="I5" t="s">
        <v>49</v>
      </c>
      <c r="J5" s="3">
        <f>J4/J2</f>
        <v>0.74405757286192076</v>
      </c>
    </row>
    <row r="6" spans="1:12" x14ac:dyDescent="0.25">
      <c r="A6" s="1">
        <v>44620</v>
      </c>
      <c r="B6">
        <v>395.85700000000003</v>
      </c>
      <c r="C6">
        <v>402.39499999999998</v>
      </c>
      <c r="D6">
        <v>360.65699999999998</v>
      </c>
      <c r="E6">
        <v>383.45299999999997</v>
      </c>
      <c r="F6">
        <v>186472084.27469</v>
      </c>
      <c r="G6" s="3">
        <f t="shared" si="0"/>
        <v>-2.9802748765282328E-2</v>
      </c>
    </row>
    <row r="7" spans="1:12" x14ac:dyDescent="0.25">
      <c r="A7" s="1">
        <v>44651</v>
      </c>
      <c r="B7">
        <v>382.16699999999997</v>
      </c>
      <c r="C7">
        <v>407.14</v>
      </c>
      <c r="D7">
        <v>364.61500000000001</v>
      </c>
      <c r="E7">
        <v>397.98399999999998</v>
      </c>
      <c r="F7">
        <v>143525452.93125001</v>
      </c>
      <c r="G7" s="3">
        <f t="shared" si="0"/>
        <v>3.7895126651767086E-2</v>
      </c>
      <c r="I7" t="s">
        <v>12</v>
      </c>
      <c r="J7" s="4">
        <f>MAX(G3:G61)</f>
        <v>0.10548071291105354</v>
      </c>
    </row>
    <row r="8" spans="1:12" x14ac:dyDescent="0.25">
      <c r="A8" s="1">
        <v>44681</v>
      </c>
      <c r="B8">
        <v>399.43200000000002</v>
      </c>
      <c r="C8">
        <v>403.40100000000001</v>
      </c>
      <c r="D8">
        <v>362.35300000000001</v>
      </c>
      <c r="E8">
        <v>363.02499999999998</v>
      </c>
      <c r="F8">
        <v>114449529.44038001</v>
      </c>
      <c r="G8" s="3">
        <f t="shared" si="0"/>
        <v>-8.784021468199732E-2</v>
      </c>
      <c r="I8" t="s">
        <v>13</v>
      </c>
      <c r="J8" s="4">
        <f>MIN(G3:G61)</f>
        <v>-9.198841919758316E-2</v>
      </c>
    </row>
    <row r="9" spans="1:12" x14ac:dyDescent="0.25">
      <c r="A9" s="1">
        <v>44712</v>
      </c>
      <c r="B9">
        <v>363.11</v>
      </c>
      <c r="C9">
        <v>378.57799999999997</v>
      </c>
      <c r="D9">
        <v>335.28</v>
      </c>
      <c r="E9">
        <v>363.964</v>
      </c>
      <c r="F9">
        <v>148999906.14692</v>
      </c>
      <c r="G9" s="3">
        <f t="shared" si="0"/>
        <v>2.5865987190965001E-3</v>
      </c>
    </row>
    <row r="10" spans="1:12" x14ac:dyDescent="0.25">
      <c r="A10" s="1">
        <v>44742</v>
      </c>
      <c r="B10">
        <v>365.86099999999999</v>
      </c>
      <c r="C10">
        <v>367.85599999999999</v>
      </c>
      <c r="D10">
        <v>320.40499999999997</v>
      </c>
      <c r="E10">
        <v>333.88499999999999</v>
      </c>
      <c r="F10">
        <v>123530275.08708</v>
      </c>
      <c r="G10" s="3">
        <f t="shared" si="0"/>
        <v>-8.2642788847248627E-2</v>
      </c>
    </row>
    <row r="11" spans="1:12" x14ac:dyDescent="0.25">
      <c r="A11" s="1">
        <v>44773</v>
      </c>
      <c r="B11">
        <v>333.19099999999997</v>
      </c>
      <c r="C11">
        <v>365.43599999999998</v>
      </c>
      <c r="D11">
        <v>328.267</v>
      </c>
      <c r="E11">
        <v>364.59800000000001</v>
      </c>
      <c r="F11">
        <v>95079817.986293003</v>
      </c>
      <c r="G11" s="3">
        <f t="shared" si="0"/>
        <v>9.1986761909040649E-2</v>
      </c>
    </row>
    <row r="12" spans="1:12" x14ac:dyDescent="0.25">
      <c r="A12" s="1">
        <v>44804</v>
      </c>
      <c r="B12">
        <v>362.029</v>
      </c>
      <c r="C12">
        <v>382.02</v>
      </c>
      <c r="D12">
        <v>349.50700000000001</v>
      </c>
      <c r="E12">
        <v>349.54399999999998</v>
      </c>
      <c r="F12">
        <v>86163298.882005006</v>
      </c>
      <c r="G12" s="3">
        <f t="shared" si="0"/>
        <v>-4.1289310418598069E-2</v>
      </c>
    </row>
    <row r="13" spans="1:12" x14ac:dyDescent="0.25">
      <c r="A13" s="1">
        <v>44834</v>
      </c>
      <c r="B13">
        <v>347.572</v>
      </c>
      <c r="C13">
        <v>364.33</v>
      </c>
      <c r="D13">
        <v>317.21699999999998</v>
      </c>
      <c r="E13">
        <v>317.39</v>
      </c>
      <c r="F13">
        <v>114346379.20513999</v>
      </c>
      <c r="G13" s="3">
        <f t="shared" si="0"/>
        <v>-9.198841919758316E-2</v>
      </c>
    </row>
    <row r="14" spans="1:12" x14ac:dyDescent="0.25">
      <c r="A14" s="1">
        <v>44865</v>
      </c>
      <c r="B14">
        <v>320.76499999999999</v>
      </c>
      <c r="C14">
        <v>346.08499999999998</v>
      </c>
      <c r="D14">
        <v>309.24099999999999</v>
      </c>
      <c r="E14">
        <v>343.15499999999997</v>
      </c>
      <c r="F14">
        <v>102581630.69858</v>
      </c>
      <c r="G14" s="3">
        <f t="shared" si="0"/>
        <v>8.117773086738711E-2</v>
      </c>
    </row>
    <row r="15" spans="1:12" x14ac:dyDescent="0.25">
      <c r="A15" s="1">
        <v>44895</v>
      </c>
      <c r="B15">
        <v>346.61599999999999</v>
      </c>
      <c r="C15">
        <v>362.14100000000002</v>
      </c>
      <c r="D15">
        <v>327.63900000000001</v>
      </c>
      <c r="E15">
        <v>362.04500000000002</v>
      </c>
      <c r="F15">
        <v>81571154.529109001</v>
      </c>
      <c r="G15" s="3">
        <f t="shared" si="0"/>
        <v>5.5048010374320722E-2</v>
      </c>
    </row>
    <row r="16" spans="1:12" x14ac:dyDescent="0.25">
      <c r="A16" s="1">
        <v>44926</v>
      </c>
      <c r="B16">
        <v>363.38</v>
      </c>
      <c r="C16">
        <v>364.65499999999997</v>
      </c>
      <c r="D16">
        <v>334.49099999999999</v>
      </c>
      <c r="E16">
        <v>341.29199999999997</v>
      </c>
      <c r="F16">
        <v>97213662.546716005</v>
      </c>
      <c r="G16" s="3">
        <f t="shared" si="0"/>
        <v>-5.732160366805239E-2</v>
      </c>
    </row>
    <row r="17" spans="1:7" x14ac:dyDescent="0.25">
      <c r="A17" s="1">
        <v>44957</v>
      </c>
      <c r="B17">
        <v>343.07900000000001</v>
      </c>
      <c r="C17">
        <v>364.351</v>
      </c>
      <c r="D17">
        <v>337.26</v>
      </c>
      <c r="E17">
        <v>362.75799999999998</v>
      </c>
      <c r="F17">
        <v>78888171.469487995</v>
      </c>
      <c r="G17" s="3">
        <f t="shared" si="0"/>
        <v>6.2896288222402008E-2</v>
      </c>
    </row>
    <row r="18" spans="1:7" x14ac:dyDescent="0.25">
      <c r="A18" s="1">
        <v>44985</v>
      </c>
      <c r="B18">
        <v>361.786</v>
      </c>
      <c r="C18">
        <v>373.41399999999999</v>
      </c>
      <c r="D18">
        <v>351.38400000000001</v>
      </c>
      <c r="E18">
        <v>353.69600000000003</v>
      </c>
      <c r="F18">
        <v>72711336.244513005</v>
      </c>
      <c r="G18" s="3">
        <f t="shared" si="0"/>
        <v>-2.4980841221971528E-2</v>
      </c>
    </row>
    <row r="19" spans="1:7" x14ac:dyDescent="0.25">
      <c r="A19" s="1">
        <v>45016</v>
      </c>
      <c r="B19">
        <v>352.94799999999998</v>
      </c>
      <c r="C19">
        <v>367.08100000000002</v>
      </c>
      <c r="D19">
        <v>339.755</v>
      </c>
      <c r="E19">
        <v>366.81799999999998</v>
      </c>
      <c r="F19">
        <v>101730954.57295001</v>
      </c>
      <c r="G19" s="3">
        <f t="shared" si="0"/>
        <v>3.7099656201935893E-2</v>
      </c>
    </row>
    <row r="20" spans="1:7" x14ac:dyDescent="0.25">
      <c r="A20" s="1">
        <v>45046</v>
      </c>
      <c r="B20">
        <v>366.35899999999998</v>
      </c>
      <c r="C20">
        <v>372.71899999999999</v>
      </c>
      <c r="D20">
        <v>361.85199999999998</v>
      </c>
      <c r="E20">
        <v>372.65199999999999</v>
      </c>
      <c r="F20">
        <v>60753036.961094998</v>
      </c>
      <c r="G20" s="3">
        <f t="shared" si="0"/>
        <v>1.5904344933999948E-2</v>
      </c>
    </row>
    <row r="21" spans="1:7" x14ac:dyDescent="0.25">
      <c r="A21" s="1">
        <v>45077</v>
      </c>
      <c r="B21">
        <v>372.339</v>
      </c>
      <c r="C21">
        <v>378.70800000000003</v>
      </c>
      <c r="D21">
        <v>361.79399999999998</v>
      </c>
      <c r="E21">
        <v>374.44499999999999</v>
      </c>
      <c r="F21">
        <v>76473268.550385997</v>
      </c>
      <c r="G21" s="3">
        <f t="shared" si="0"/>
        <v>4.8114594849886227E-3</v>
      </c>
    </row>
    <row r="22" spans="1:7" x14ac:dyDescent="0.25">
      <c r="A22" s="1">
        <v>45107</v>
      </c>
      <c r="B22">
        <v>374.74799999999999</v>
      </c>
      <c r="C22">
        <v>399.74200000000002</v>
      </c>
      <c r="D22">
        <v>373.54899999999998</v>
      </c>
      <c r="E22">
        <v>398.822</v>
      </c>
      <c r="F22">
        <v>89221328.146782994</v>
      </c>
      <c r="G22" s="3">
        <f t="shared" si="0"/>
        <v>6.5101683825395051E-2</v>
      </c>
    </row>
    <row r="23" spans="1:7" x14ac:dyDescent="0.25">
      <c r="A23" s="1">
        <v>45138</v>
      </c>
      <c r="B23">
        <v>398.47</v>
      </c>
      <c r="C23">
        <v>413.38200000000001</v>
      </c>
      <c r="D23">
        <v>393.22</v>
      </c>
      <c r="E23">
        <v>411.94299999999998</v>
      </c>
      <c r="F23">
        <v>76848677.533451006</v>
      </c>
      <c r="G23" s="3">
        <f t="shared" si="0"/>
        <v>3.2899388699720644E-2</v>
      </c>
    </row>
    <row r="24" spans="1:7" x14ac:dyDescent="0.25">
      <c r="A24" s="1">
        <v>45169</v>
      </c>
      <c r="B24">
        <v>410.55200000000002</v>
      </c>
      <c r="C24">
        <v>411.35599999999999</v>
      </c>
      <c r="D24">
        <v>389.58800000000002</v>
      </c>
      <c r="E24">
        <v>405.23500000000001</v>
      </c>
      <c r="F24">
        <v>89363835.932582006</v>
      </c>
      <c r="G24" s="3">
        <f t="shared" si="0"/>
        <v>-1.6283806254748789E-2</v>
      </c>
    </row>
    <row r="25" spans="1:7" x14ac:dyDescent="0.25">
      <c r="A25" s="1">
        <v>45199</v>
      </c>
      <c r="B25">
        <v>407.81200000000001</v>
      </c>
      <c r="C25">
        <v>408.22199999999998</v>
      </c>
      <c r="D25">
        <v>381.36200000000002</v>
      </c>
      <c r="E25">
        <v>386.01100000000002</v>
      </c>
      <c r="F25">
        <v>87165240.211900994</v>
      </c>
      <c r="G25" s="3">
        <f t="shared" si="0"/>
        <v>-4.7439140251952505E-2</v>
      </c>
    </row>
    <row r="26" spans="1:7" x14ac:dyDescent="0.25">
      <c r="A26" s="1">
        <v>45230</v>
      </c>
      <c r="B26">
        <v>385.22399999999999</v>
      </c>
      <c r="C26">
        <v>395.64499999999998</v>
      </c>
      <c r="D26">
        <v>369.54199999999997</v>
      </c>
      <c r="E26">
        <v>377.62700000000001</v>
      </c>
      <c r="F26">
        <v>114692803.80667</v>
      </c>
      <c r="G26" s="3">
        <f t="shared" si="0"/>
        <v>-2.1719588301887804E-2</v>
      </c>
    </row>
    <row r="27" spans="1:7" x14ac:dyDescent="0.25">
      <c r="A27" s="1">
        <v>45260</v>
      </c>
      <c r="B27">
        <v>378.53100000000001</v>
      </c>
      <c r="C27">
        <v>413.94600000000003</v>
      </c>
      <c r="D27">
        <v>378.06799999999998</v>
      </c>
      <c r="E27">
        <v>412.25599999999997</v>
      </c>
      <c r="F27">
        <v>89129658.553055003</v>
      </c>
      <c r="G27" s="3">
        <f t="shared" si="0"/>
        <v>9.1701599726714322E-2</v>
      </c>
    </row>
    <row r="28" spans="1:7" x14ac:dyDescent="0.25">
      <c r="A28" s="1">
        <v>45291</v>
      </c>
      <c r="B28">
        <v>411.69600000000003</v>
      </c>
      <c r="C28">
        <v>433.14600000000002</v>
      </c>
      <c r="D28">
        <v>410.34899999999999</v>
      </c>
      <c r="E28">
        <v>431.13200000000001</v>
      </c>
      <c r="F28">
        <v>101916264.85286</v>
      </c>
      <c r="G28" s="3">
        <f t="shared" si="0"/>
        <v>4.5787083753784152E-2</v>
      </c>
    </row>
    <row r="29" spans="1:7" x14ac:dyDescent="0.25">
      <c r="A29" s="1">
        <v>45322</v>
      </c>
      <c r="B29">
        <v>428.28</v>
      </c>
      <c r="C29">
        <v>445.947</v>
      </c>
      <c r="D29">
        <v>423.07799999999997</v>
      </c>
      <c r="E29">
        <v>438.06</v>
      </c>
      <c r="F29">
        <v>114725773.17005999</v>
      </c>
      <c r="G29" s="3">
        <f t="shared" si="0"/>
        <v>1.60693244760306E-2</v>
      </c>
    </row>
    <row r="30" spans="1:7" x14ac:dyDescent="0.25">
      <c r="A30" s="1">
        <v>45351</v>
      </c>
      <c r="B30">
        <v>439.57</v>
      </c>
      <c r="C30">
        <v>462.786</v>
      </c>
      <c r="D30">
        <v>438.88099999999997</v>
      </c>
      <c r="E30">
        <v>460.87</v>
      </c>
      <c r="F30">
        <v>104832625.93719999</v>
      </c>
      <c r="G30" s="3">
        <f t="shared" si="0"/>
        <v>5.2070492626580922E-2</v>
      </c>
    </row>
    <row r="31" spans="1:7" x14ac:dyDescent="0.25">
      <c r="A31" s="1">
        <v>45382</v>
      </c>
      <c r="B31">
        <v>461.75799999999998</v>
      </c>
      <c r="C31">
        <v>477.43299999999999</v>
      </c>
      <c r="D31">
        <v>458.03899999999999</v>
      </c>
      <c r="E31">
        <v>475.988</v>
      </c>
      <c r="F31">
        <v>107899273.46594</v>
      </c>
      <c r="G31" s="3">
        <f t="shared" si="0"/>
        <v>3.2803176600776807E-2</v>
      </c>
    </row>
    <row r="32" spans="1:7" x14ac:dyDescent="0.25">
      <c r="A32" s="1">
        <v>45412</v>
      </c>
      <c r="B32">
        <v>476.721</v>
      </c>
      <c r="C32">
        <v>477.23599999999999</v>
      </c>
      <c r="D32">
        <v>449.45100000000002</v>
      </c>
      <c r="E32">
        <v>456.90699999999998</v>
      </c>
      <c r="F32">
        <v>133569510.09656</v>
      </c>
      <c r="G32" s="3">
        <f t="shared" si="0"/>
        <v>-4.0087145054077067E-2</v>
      </c>
    </row>
    <row r="33" spans="1:7" x14ac:dyDescent="0.25">
      <c r="A33" s="1">
        <v>45443</v>
      </c>
      <c r="B33">
        <v>456.25299999999999</v>
      </c>
      <c r="C33">
        <v>485.18700000000001</v>
      </c>
      <c r="D33">
        <v>454.65899999999999</v>
      </c>
      <c r="E33">
        <v>479.86900000000003</v>
      </c>
      <c r="F33">
        <v>84206614.276490003</v>
      </c>
      <c r="G33" s="3">
        <f t="shared" si="0"/>
        <v>5.0255303595698964E-2</v>
      </c>
    </row>
    <row r="34" spans="1:7" x14ac:dyDescent="0.25">
      <c r="A34" s="1">
        <v>45473</v>
      </c>
      <c r="B34">
        <v>481.53300000000002</v>
      </c>
      <c r="C34">
        <v>502.55200000000002</v>
      </c>
      <c r="D34">
        <v>475.69200000000001</v>
      </c>
      <c r="E34">
        <v>496.98700000000002</v>
      </c>
      <c r="F34">
        <v>103998604.56387</v>
      </c>
      <c r="G34" s="3">
        <f t="shared" ref="G34:G61" si="1">E34/E33-1</f>
        <v>3.5672235547618225E-2</v>
      </c>
    </row>
    <row r="35" spans="1:7" x14ac:dyDescent="0.25">
      <c r="A35" s="1">
        <v>45504</v>
      </c>
      <c r="B35">
        <v>498.33800000000002</v>
      </c>
      <c r="C35">
        <v>516.13499999999999</v>
      </c>
      <c r="D35">
        <v>490.815</v>
      </c>
      <c r="E35">
        <v>502.75</v>
      </c>
      <c r="F35">
        <v>96187697.193868995</v>
      </c>
      <c r="G35" s="3">
        <f t="shared" si="1"/>
        <v>1.1595876753315526E-2</v>
      </c>
    </row>
    <row r="36" spans="1:7" x14ac:dyDescent="0.25">
      <c r="A36" s="1">
        <v>45535</v>
      </c>
      <c r="B36">
        <v>504.64800000000002</v>
      </c>
      <c r="C36">
        <v>515.32100000000003</v>
      </c>
      <c r="D36">
        <v>465.94299999999998</v>
      </c>
      <c r="E36">
        <v>514.78399999999999</v>
      </c>
      <c r="F36">
        <v>114368113.07132</v>
      </c>
      <c r="G36" s="3">
        <f t="shared" si="1"/>
        <v>2.3936350074589718E-2</v>
      </c>
    </row>
    <row r="37" spans="1:7" x14ac:dyDescent="0.25">
      <c r="A37" s="1">
        <v>45565</v>
      </c>
      <c r="B37">
        <v>511.88200000000001</v>
      </c>
      <c r="C37">
        <v>526.59</v>
      </c>
      <c r="D37">
        <v>492.68299999999999</v>
      </c>
      <c r="E37">
        <v>525.98699999999997</v>
      </c>
      <c r="F37">
        <v>160109219.45401001</v>
      </c>
      <c r="G37" s="3">
        <f t="shared" si="1"/>
        <v>2.1762525641822572E-2</v>
      </c>
    </row>
    <row r="38" spans="1:7" x14ac:dyDescent="0.25">
      <c r="A38" s="1">
        <v>45596</v>
      </c>
      <c r="B38">
        <v>525.35900000000004</v>
      </c>
      <c r="C38">
        <v>537.04200000000003</v>
      </c>
      <c r="D38">
        <v>517.923</v>
      </c>
      <c r="E38">
        <v>521.00300000000004</v>
      </c>
      <c r="F38">
        <v>98283905.63053</v>
      </c>
      <c r="G38" s="3">
        <f t="shared" si="1"/>
        <v>-9.4755193569421303E-3</v>
      </c>
    </row>
    <row r="39" spans="1:7" x14ac:dyDescent="0.25">
      <c r="A39" s="1">
        <v>45626</v>
      </c>
      <c r="B39">
        <v>523.48500000000001</v>
      </c>
      <c r="C39">
        <v>552.93100000000004</v>
      </c>
      <c r="D39">
        <v>520.36500000000001</v>
      </c>
      <c r="E39">
        <v>551.68499999999995</v>
      </c>
      <c r="F39">
        <v>100035466.53904</v>
      </c>
      <c r="G39" s="3">
        <f t="shared" si="1"/>
        <v>5.8890255910234446E-2</v>
      </c>
    </row>
    <row r="40" spans="1:7" x14ac:dyDescent="0.25">
      <c r="A40" s="1">
        <v>45657</v>
      </c>
      <c r="B40">
        <v>552.59199999999998</v>
      </c>
      <c r="C40">
        <v>558.17399999999998</v>
      </c>
      <c r="D40">
        <v>534.14099999999996</v>
      </c>
      <c r="E40">
        <v>538.80999999999995</v>
      </c>
      <c r="F40">
        <v>158784963.88099</v>
      </c>
      <c r="G40" s="3">
        <f t="shared" si="1"/>
        <v>-2.3337593010504198E-2</v>
      </c>
    </row>
    <row r="41" spans="1:7" x14ac:dyDescent="0.25">
      <c r="A41" s="1">
        <v>45688</v>
      </c>
      <c r="B41">
        <v>541.91999999999996</v>
      </c>
      <c r="C41">
        <v>561.66</v>
      </c>
      <c r="D41">
        <v>529.02</v>
      </c>
      <c r="E41">
        <v>553.33000000000004</v>
      </c>
      <c r="F41">
        <v>113529090</v>
      </c>
      <c r="G41" s="3">
        <f t="shared" si="1"/>
        <v>2.6948274902099278E-2</v>
      </c>
    </row>
    <row r="42" spans="1:7" x14ac:dyDescent="0.25">
      <c r="A42" s="1">
        <v>45716</v>
      </c>
      <c r="B42">
        <v>544.99</v>
      </c>
      <c r="C42">
        <v>563.91999999999996</v>
      </c>
      <c r="D42">
        <v>535.58000000000004</v>
      </c>
      <c r="E42">
        <v>546.33000000000004</v>
      </c>
      <c r="F42">
        <v>91407666</v>
      </c>
      <c r="G42" s="3">
        <f t="shared" si="1"/>
        <v>-1.2650678618545852E-2</v>
      </c>
    </row>
    <row r="43" spans="1:7" x14ac:dyDescent="0.25">
      <c r="A43" s="1">
        <v>45747</v>
      </c>
      <c r="B43">
        <v>548.20000000000005</v>
      </c>
      <c r="C43">
        <v>549.29</v>
      </c>
      <c r="D43">
        <v>502.64</v>
      </c>
      <c r="E43">
        <v>513.91</v>
      </c>
      <c r="F43">
        <v>179937621</v>
      </c>
      <c r="G43" s="3">
        <f t="shared" si="1"/>
        <v>-5.9341423681657735E-2</v>
      </c>
    </row>
    <row r="44" spans="1:7" x14ac:dyDescent="0.25">
      <c r="A44" s="1">
        <v>45777</v>
      </c>
      <c r="B44">
        <v>512.36</v>
      </c>
      <c r="C44">
        <v>521.49</v>
      </c>
      <c r="D44">
        <v>442.8</v>
      </c>
      <c r="E44">
        <v>509.74</v>
      </c>
      <c r="F44">
        <v>250654449</v>
      </c>
      <c r="G44" s="3">
        <f t="shared" si="1"/>
        <v>-8.1142612519701229E-3</v>
      </c>
    </row>
    <row r="45" spans="1:7" x14ac:dyDescent="0.25">
      <c r="A45" s="1">
        <v>45808</v>
      </c>
      <c r="B45">
        <v>515.13</v>
      </c>
      <c r="C45">
        <v>547.45000000000005</v>
      </c>
      <c r="D45">
        <v>511.1</v>
      </c>
      <c r="E45">
        <v>541.76</v>
      </c>
      <c r="F45">
        <v>127057135</v>
      </c>
      <c r="G45" s="3">
        <f t="shared" si="1"/>
        <v>6.2816337740809081E-2</v>
      </c>
    </row>
    <row r="46" spans="1:7" x14ac:dyDescent="0.25">
      <c r="A46" s="1">
        <v>45838</v>
      </c>
      <c r="B46">
        <v>540.25</v>
      </c>
      <c r="C46">
        <v>569.15</v>
      </c>
      <c r="D46">
        <v>537.79999999999995</v>
      </c>
      <c r="E46">
        <v>568.03</v>
      </c>
      <c r="F46">
        <v>151125117</v>
      </c>
      <c r="G46" s="3">
        <f t="shared" si="1"/>
        <v>4.8490106320141724E-2</v>
      </c>
    </row>
    <row r="47" spans="1:7" x14ac:dyDescent="0.25">
      <c r="A47" s="1">
        <v>45869</v>
      </c>
      <c r="B47">
        <v>566.55999999999995</v>
      </c>
      <c r="C47">
        <v>588.16143999999997</v>
      </c>
      <c r="D47">
        <v>565.79999999999995</v>
      </c>
      <c r="E47">
        <v>581.02</v>
      </c>
      <c r="F47">
        <v>121626096</v>
      </c>
      <c r="G47" s="3">
        <f t="shared" si="1"/>
        <v>2.2868510465996472E-2</v>
      </c>
    </row>
    <row r="48" spans="1:7" x14ac:dyDescent="0.25">
      <c r="A48" s="1">
        <v>45900</v>
      </c>
      <c r="B48">
        <v>575.73</v>
      </c>
      <c r="C48">
        <v>597.07000000000005</v>
      </c>
      <c r="D48">
        <v>569.29</v>
      </c>
      <c r="E48">
        <v>593.08000000000004</v>
      </c>
      <c r="F48">
        <v>123987397</v>
      </c>
      <c r="G48" s="3">
        <f t="shared" si="1"/>
        <v>2.0756600461257824E-2</v>
      </c>
    </row>
    <row r="49" spans="1:7" x14ac:dyDescent="0.25">
      <c r="A49" s="1">
        <v>45930</v>
      </c>
      <c r="B49">
        <v>586.05999999999995</v>
      </c>
      <c r="C49">
        <v>615.26</v>
      </c>
      <c r="D49">
        <v>583.66999999999996</v>
      </c>
      <c r="E49">
        <v>612.38</v>
      </c>
      <c r="F49">
        <v>204751610</v>
      </c>
      <c r="G49" s="3">
        <f t="shared" si="1"/>
        <v>3.2541984217980602E-2</v>
      </c>
    </row>
    <row r="50" spans="1:7" x14ac:dyDescent="0.25">
      <c r="A50" s="1">
        <v>45961</v>
      </c>
      <c r="B50">
        <v>609.70000000000005</v>
      </c>
      <c r="C50">
        <v>634.13</v>
      </c>
      <c r="D50">
        <v>600.23</v>
      </c>
      <c r="E50">
        <v>627.04</v>
      </c>
      <c r="F50">
        <v>157610400</v>
      </c>
      <c r="G50" s="3">
        <f t="shared" si="1"/>
        <v>2.3939384042587886E-2</v>
      </c>
    </row>
    <row r="51" spans="1:7" x14ac:dyDescent="0.25">
      <c r="A51" s="1">
        <v>45991</v>
      </c>
      <c r="B51">
        <v>630.41999999999996</v>
      </c>
      <c r="C51">
        <v>630.54</v>
      </c>
      <c r="D51">
        <v>598.38</v>
      </c>
      <c r="E51">
        <v>628.41</v>
      </c>
      <c r="F51">
        <v>152463587</v>
      </c>
      <c r="G51" s="3">
        <f t="shared" si="1"/>
        <v>2.184868588925859E-3</v>
      </c>
    </row>
    <row r="52" spans="1:7" x14ac:dyDescent="0.25">
      <c r="A52" s="1">
        <v>46022</v>
      </c>
      <c r="B52">
        <v>624.16999999999996</v>
      </c>
      <c r="C52">
        <v>636.07500000000005</v>
      </c>
      <c r="D52">
        <v>617.15899999999999</v>
      </c>
      <c r="E52">
        <v>627.13</v>
      </c>
      <c r="F52">
        <v>259445909</v>
      </c>
      <c r="G52" s="3">
        <f t="shared" si="1"/>
        <v>-2.0368867459142903E-3</v>
      </c>
    </row>
    <row r="53" spans="1:7" x14ac:dyDescent="0.25">
      <c r="A53" s="1">
        <v>46053</v>
      </c>
      <c r="B53">
        <v>630.63499999999999</v>
      </c>
      <c r="C53">
        <v>641.80999999999995</v>
      </c>
      <c r="D53">
        <v>622.22</v>
      </c>
      <c r="E53">
        <v>636.22</v>
      </c>
      <c r="F53">
        <v>172422717</v>
      </c>
      <c r="G53" s="3">
        <f t="shared" si="1"/>
        <v>1.4494602395037859E-2</v>
      </c>
    </row>
    <row r="54" spans="1:7" x14ac:dyDescent="0.25">
      <c r="A54" s="1">
        <v>46081</v>
      </c>
      <c r="B54">
        <v>634.17999999999995</v>
      </c>
      <c r="C54">
        <v>641.15</v>
      </c>
      <c r="D54">
        <v>621.5</v>
      </c>
      <c r="E54">
        <v>637.53</v>
      </c>
      <c r="F54">
        <v>182152838</v>
      </c>
      <c r="G54" s="3">
        <f t="shared" si="1"/>
        <v>2.0590361824526227E-3</v>
      </c>
    </row>
    <row r="55" spans="1:7" x14ac:dyDescent="0.25">
      <c r="A55" s="1">
        <v>46112</v>
      </c>
      <c r="B55">
        <v>624.18499999999995</v>
      </c>
      <c r="C55">
        <v>633.34</v>
      </c>
      <c r="D55">
        <v>578.46</v>
      </c>
      <c r="E55">
        <v>597.54999999999995</v>
      </c>
      <c r="F55">
        <v>309932440</v>
      </c>
      <c r="G55" s="3">
        <f t="shared" si="1"/>
        <v>-6.2710774394930446E-2</v>
      </c>
    </row>
    <row r="56" spans="1:7" x14ac:dyDescent="0.25">
      <c r="A56" s="1">
        <v>46142</v>
      </c>
      <c r="B56">
        <v>601.05999999999995</v>
      </c>
      <c r="C56">
        <v>661.77</v>
      </c>
      <c r="D56">
        <v>593.03200000000004</v>
      </c>
      <c r="E56">
        <v>660.58</v>
      </c>
      <c r="F56">
        <v>139942965</v>
      </c>
      <c r="G56" s="3">
        <f t="shared" si="1"/>
        <v>0.10548071291105354</v>
      </c>
    </row>
    <row r="57" spans="1:7" x14ac:dyDescent="0.25">
      <c r="A57" s="1">
        <v>46173</v>
      </c>
      <c r="B57">
        <v>663.09</v>
      </c>
      <c r="C57">
        <v>697</v>
      </c>
      <c r="D57">
        <v>657.39</v>
      </c>
      <c r="E57">
        <v>695.49</v>
      </c>
      <c r="F57">
        <v>119984284</v>
      </c>
      <c r="G57" s="3">
        <f t="shared" si="1"/>
        <v>5.2847497653577102E-2</v>
      </c>
    </row>
    <row r="58" spans="1:7" x14ac:dyDescent="0.25">
      <c r="A58" s="1">
        <v>46203</v>
      </c>
      <c r="B58">
        <v>694.54</v>
      </c>
      <c r="C58">
        <v>699.15</v>
      </c>
      <c r="D58">
        <v>664.32010000000002</v>
      </c>
      <c r="E58">
        <v>686.81</v>
      </c>
      <c r="F58">
        <v>254777761</v>
      </c>
      <c r="G58" s="3">
        <f t="shared" si="1"/>
        <v>-1.2480409495463696E-2</v>
      </c>
    </row>
    <row r="59" spans="1:7" x14ac:dyDescent="0.25">
      <c r="A59" s="1">
        <v>46234</v>
      </c>
      <c r="B59">
        <v>684.73</v>
      </c>
      <c r="C59">
        <v>694.5</v>
      </c>
      <c r="D59">
        <v>670.15499999999997</v>
      </c>
      <c r="E59">
        <v>686.65</v>
      </c>
      <c r="F59">
        <v>124795471</v>
      </c>
      <c r="G59" s="3">
        <f t="shared" si="1"/>
        <v>-2.3296108093939782E-4</v>
      </c>
    </row>
    <row r="60" spans="1:7" x14ac:dyDescent="0.25">
      <c r="A60" s="1">
        <v>46265</v>
      </c>
      <c r="B60">
        <v>688.83</v>
      </c>
      <c r="C60">
        <v>716.39</v>
      </c>
      <c r="D60">
        <v>688.61</v>
      </c>
      <c r="E60">
        <v>704.89</v>
      </c>
      <c r="F60">
        <v>131019722</v>
      </c>
      <c r="G60" s="3">
        <f t="shared" si="1"/>
        <v>2.6563751547367564E-2</v>
      </c>
    </row>
    <row r="61" spans="1:7" x14ac:dyDescent="0.25">
      <c r="A61" s="1">
        <v>46295</v>
      </c>
      <c r="B61">
        <v>700.45</v>
      </c>
      <c r="C61">
        <v>714.3</v>
      </c>
      <c r="D61">
        <v>689.04</v>
      </c>
      <c r="E61">
        <v>700.86</v>
      </c>
      <c r="F61">
        <v>200315333</v>
      </c>
      <c r="G61" s="3">
        <f t="shared" si="1"/>
        <v>-5.71720410276777E-3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5C41-5643-4239-A33C-22B2D136EAB0}">
  <dimension ref="A1:F61"/>
  <sheetViews>
    <sheetView workbookViewId="0"/>
  </sheetViews>
  <sheetFormatPr defaultRowHeight="15" x14ac:dyDescent="0.25"/>
  <cols>
    <col min="1" max="1" width="10.42578125" bestFit="1" customWidth="1"/>
    <col min="2" max="2" width="8.140625" bestFit="1" customWidth="1"/>
    <col min="3" max="3" width="10" bestFit="1" customWidth="1"/>
    <col min="4" max="4" width="9" bestFit="1" customWidth="1"/>
    <col min="5" max="5" width="8.5703125" bestFit="1" customWidth="1"/>
    <col min="6" max="6" width="12" bestFit="1" customWidth="1"/>
  </cols>
  <sheetData>
    <row r="1" spans="1:6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25">
      <c r="A2" s="1">
        <v>44500</v>
      </c>
      <c r="B2">
        <v>377.16300000000001</v>
      </c>
      <c r="C2">
        <v>402.19299999999998</v>
      </c>
      <c r="D2">
        <v>373.108</v>
      </c>
      <c r="E2">
        <v>401.85599999999999</v>
      </c>
      <c r="F2">
        <v>98638767.751510993</v>
      </c>
    </row>
    <row r="3" spans="1:6" x14ac:dyDescent="0.25">
      <c r="A3" s="1">
        <v>44530</v>
      </c>
      <c r="B3">
        <v>402.82499999999999</v>
      </c>
      <c r="C3">
        <v>414.46300000000002</v>
      </c>
      <c r="D3">
        <v>398.49299999999999</v>
      </c>
      <c r="E3">
        <v>398.90600000000001</v>
      </c>
      <c r="F3">
        <v>105319201.47849999</v>
      </c>
    </row>
    <row r="4" spans="1:6" x14ac:dyDescent="0.25">
      <c r="A4" s="1">
        <v>44561</v>
      </c>
      <c r="B4">
        <v>404.05099999999999</v>
      </c>
      <c r="C4">
        <v>420.714</v>
      </c>
      <c r="D4">
        <v>392.91300000000001</v>
      </c>
      <c r="E4">
        <v>417.09</v>
      </c>
      <c r="F4">
        <v>149421054.20335999</v>
      </c>
    </row>
    <row r="5" spans="1:6" x14ac:dyDescent="0.25">
      <c r="A5" s="1">
        <v>44592</v>
      </c>
      <c r="B5">
        <v>418.392</v>
      </c>
      <c r="C5">
        <v>421.57600000000002</v>
      </c>
      <c r="D5">
        <v>369.58</v>
      </c>
      <c r="E5">
        <v>395.23200000000003</v>
      </c>
      <c r="F5">
        <v>219224225.59599999</v>
      </c>
    </row>
    <row r="6" spans="1:6" x14ac:dyDescent="0.25">
      <c r="A6" s="1">
        <v>44620</v>
      </c>
      <c r="B6">
        <v>395.85700000000003</v>
      </c>
      <c r="C6">
        <v>402.39499999999998</v>
      </c>
      <c r="D6">
        <v>360.65699999999998</v>
      </c>
      <c r="E6">
        <v>383.45299999999997</v>
      </c>
      <c r="F6">
        <v>186472084.27469</v>
      </c>
    </row>
    <row r="7" spans="1:6" x14ac:dyDescent="0.25">
      <c r="A7" s="1">
        <v>44651</v>
      </c>
      <c r="B7">
        <v>382.16699999999997</v>
      </c>
      <c r="C7">
        <v>407.14</v>
      </c>
      <c r="D7">
        <v>364.61500000000001</v>
      </c>
      <c r="E7">
        <v>397.98399999999998</v>
      </c>
      <c r="F7">
        <v>143525452.93125001</v>
      </c>
    </row>
    <row r="8" spans="1:6" x14ac:dyDescent="0.25">
      <c r="A8" s="1">
        <v>44681</v>
      </c>
      <c r="B8">
        <v>399.43200000000002</v>
      </c>
      <c r="C8">
        <v>403.40100000000001</v>
      </c>
      <c r="D8">
        <v>362.35300000000001</v>
      </c>
      <c r="E8">
        <v>363.02499999999998</v>
      </c>
      <c r="F8">
        <v>114449529.44038001</v>
      </c>
    </row>
    <row r="9" spans="1:6" x14ac:dyDescent="0.25">
      <c r="A9" s="1">
        <v>44712</v>
      </c>
      <c r="B9">
        <v>363.11</v>
      </c>
      <c r="C9">
        <v>378.57799999999997</v>
      </c>
      <c r="D9">
        <v>335.28</v>
      </c>
      <c r="E9">
        <v>363.964</v>
      </c>
      <c r="F9">
        <v>148999906.14692</v>
      </c>
    </row>
    <row r="10" spans="1:6" x14ac:dyDescent="0.25">
      <c r="A10" s="1">
        <v>44742</v>
      </c>
      <c r="B10">
        <v>365.86099999999999</v>
      </c>
      <c r="C10">
        <v>367.85599999999999</v>
      </c>
      <c r="D10">
        <v>320.40499999999997</v>
      </c>
      <c r="E10">
        <v>333.88499999999999</v>
      </c>
      <c r="F10">
        <v>123530275.08708</v>
      </c>
    </row>
    <row r="11" spans="1:6" x14ac:dyDescent="0.25">
      <c r="A11" s="1">
        <v>44773</v>
      </c>
      <c r="B11">
        <v>333.19099999999997</v>
      </c>
      <c r="C11">
        <v>365.43599999999998</v>
      </c>
      <c r="D11">
        <v>328.267</v>
      </c>
      <c r="E11">
        <v>364.59800000000001</v>
      </c>
      <c r="F11">
        <v>95079817.986293003</v>
      </c>
    </row>
    <row r="12" spans="1:6" x14ac:dyDescent="0.25">
      <c r="A12" s="1">
        <v>44804</v>
      </c>
      <c r="B12">
        <v>362.029</v>
      </c>
      <c r="C12">
        <v>382.02</v>
      </c>
      <c r="D12">
        <v>349.50700000000001</v>
      </c>
      <c r="E12">
        <v>349.54399999999998</v>
      </c>
      <c r="F12">
        <v>86163298.882005006</v>
      </c>
    </row>
    <row r="13" spans="1:6" x14ac:dyDescent="0.25">
      <c r="A13" s="1">
        <v>44834</v>
      </c>
      <c r="B13">
        <v>347.572</v>
      </c>
      <c r="C13">
        <v>364.33</v>
      </c>
      <c r="D13">
        <v>317.21699999999998</v>
      </c>
      <c r="E13">
        <v>317.39</v>
      </c>
      <c r="F13">
        <v>114346379.20513999</v>
      </c>
    </row>
    <row r="14" spans="1:6" x14ac:dyDescent="0.25">
      <c r="A14" s="1">
        <v>44865</v>
      </c>
      <c r="B14">
        <v>320.76499999999999</v>
      </c>
      <c r="C14">
        <v>346.08499999999998</v>
      </c>
      <c r="D14">
        <v>309.24099999999999</v>
      </c>
      <c r="E14">
        <v>343.15499999999997</v>
      </c>
      <c r="F14">
        <v>102581630.69858</v>
      </c>
    </row>
    <row r="15" spans="1:6" x14ac:dyDescent="0.25">
      <c r="A15" s="1">
        <v>44895</v>
      </c>
      <c r="B15">
        <v>346.61599999999999</v>
      </c>
      <c r="C15">
        <v>362.14100000000002</v>
      </c>
      <c r="D15">
        <v>327.63900000000001</v>
      </c>
      <c r="E15">
        <v>362.04500000000002</v>
      </c>
      <c r="F15">
        <v>81571154.529109001</v>
      </c>
    </row>
    <row r="16" spans="1:6" x14ac:dyDescent="0.25">
      <c r="A16" s="1">
        <v>44926</v>
      </c>
      <c r="B16">
        <v>363.38</v>
      </c>
      <c r="C16">
        <v>364.65499999999997</v>
      </c>
      <c r="D16">
        <v>334.49099999999999</v>
      </c>
      <c r="E16">
        <v>341.29199999999997</v>
      </c>
      <c r="F16">
        <v>97213662.546716005</v>
      </c>
    </row>
    <row r="17" spans="1:6" x14ac:dyDescent="0.25">
      <c r="A17" s="1">
        <v>44957</v>
      </c>
      <c r="B17">
        <v>343.07900000000001</v>
      </c>
      <c r="C17">
        <v>364.351</v>
      </c>
      <c r="D17">
        <v>337.26</v>
      </c>
      <c r="E17">
        <v>362.75799999999998</v>
      </c>
      <c r="F17">
        <v>78888171.469487995</v>
      </c>
    </row>
    <row r="18" spans="1:6" x14ac:dyDescent="0.25">
      <c r="A18" s="1">
        <v>44985</v>
      </c>
      <c r="B18">
        <v>361.786</v>
      </c>
      <c r="C18">
        <v>373.41399999999999</v>
      </c>
      <c r="D18">
        <v>351.38400000000001</v>
      </c>
      <c r="E18">
        <v>353.69600000000003</v>
      </c>
      <c r="F18">
        <v>72711336.244513005</v>
      </c>
    </row>
    <row r="19" spans="1:6" x14ac:dyDescent="0.25">
      <c r="A19" s="1">
        <v>45016</v>
      </c>
      <c r="B19">
        <v>352.94799999999998</v>
      </c>
      <c r="C19">
        <v>367.08100000000002</v>
      </c>
      <c r="D19">
        <v>339.755</v>
      </c>
      <c r="E19">
        <v>366.81799999999998</v>
      </c>
      <c r="F19">
        <v>101730954.57295001</v>
      </c>
    </row>
    <row r="20" spans="1:6" x14ac:dyDescent="0.25">
      <c r="A20" s="1">
        <v>45046</v>
      </c>
      <c r="B20">
        <v>366.35899999999998</v>
      </c>
      <c r="C20">
        <v>372.71899999999999</v>
      </c>
      <c r="D20">
        <v>361.85199999999998</v>
      </c>
      <c r="E20">
        <v>372.65199999999999</v>
      </c>
      <c r="F20">
        <v>60753036.961094998</v>
      </c>
    </row>
    <row r="21" spans="1:6" x14ac:dyDescent="0.25">
      <c r="A21" s="1">
        <v>45077</v>
      </c>
      <c r="B21">
        <v>372.339</v>
      </c>
      <c r="C21">
        <v>378.70800000000003</v>
      </c>
      <c r="D21">
        <v>361.79399999999998</v>
      </c>
      <c r="E21">
        <v>374.44499999999999</v>
      </c>
      <c r="F21">
        <v>76473268.550385997</v>
      </c>
    </row>
    <row r="22" spans="1:6" x14ac:dyDescent="0.25">
      <c r="A22" s="1">
        <v>45107</v>
      </c>
      <c r="B22">
        <v>374.74799999999999</v>
      </c>
      <c r="C22">
        <v>399.74200000000002</v>
      </c>
      <c r="D22">
        <v>373.54899999999998</v>
      </c>
      <c r="E22">
        <v>398.822</v>
      </c>
      <c r="F22">
        <v>89221328.146782994</v>
      </c>
    </row>
    <row r="23" spans="1:6" x14ac:dyDescent="0.25">
      <c r="A23" s="1">
        <v>45138</v>
      </c>
      <c r="B23">
        <v>398.47</v>
      </c>
      <c r="C23">
        <v>413.38200000000001</v>
      </c>
      <c r="D23">
        <v>393.22</v>
      </c>
      <c r="E23">
        <v>411.94299999999998</v>
      </c>
      <c r="F23">
        <v>76848677.533451006</v>
      </c>
    </row>
    <row r="24" spans="1:6" x14ac:dyDescent="0.25">
      <c r="A24" s="1">
        <v>45169</v>
      </c>
      <c r="B24">
        <v>410.55200000000002</v>
      </c>
      <c r="C24">
        <v>411.35599999999999</v>
      </c>
      <c r="D24">
        <v>389.58800000000002</v>
      </c>
      <c r="E24">
        <v>405.23500000000001</v>
      </c>
      <c r="F24">
        <v>89363835.932582006</v>
      </c>
    </row>
    <row r="25" spans="1:6" x14ac:dyDescent="0.25">
      <c r="A25" s="1">
        <v>45199</v>
      </c>
      <c r="B25">
        <v>407.81200000000001</v>
      </c>
      <c r="C25">
        <v>408.22199999999998</v>
      </c>
      <c r="D25">
        <v>381.36200000000002</v>
      </c>
      <c r="E25">
        <v>386.01100000000002</v>
      </c>
      <c r="F25">
        <v>87165240.211900994</v>
      </c>
    </row>
    <row r="26" spans="1:6" x14ac:dyDescent="0.25">
      <c r="A26" s="1">
        <v>45230</v>
      </c>
      <c r="B26">
        <v>385.22399999999999</v>
      </c>
      <c r="C26">
        <v>395.64499999999998</v>
      </c>
      <c r="D26">
        <v>369.54199999999997</v>
      </c>
      <c r="E26">
        <v>377.62700000000001</v>
      </c>
      <c r="F26">
        <v>114692803.80667</v>
      </c>
    </row>
    <row r="27" spans="1:6" x14ac:dyDescent="0.25">
      <c r="A27" s="1">
        <v>45260</v>
      </c>
      <c r="B27">
        <v>378.53100000000001</v>
      </c>
      <c r="C27">
        <v>413.94600000000003</v>
      </c>
      <c r="D27">
        <v>378.06799999999998</v>
      </c>
      <c r="E27">
        <v>412.25599999999997</v>
      </c>
      <c r="F27">
        <v>89129658.553055003</v>
      </c>
    </row>
    <row r="28" spans="1:6" x14ac:dyDescent="0.25">
      <c r="A28" s="1">
        <v>45291</v>
      </c>
      <c r="B28">
        <v>411.69600000000003</v>
      </c>
      <c r="C28">
        <v>433.14600000000002</v>
      </c>
      <c r="D28">
        <v>410.34899999999999</v>
      </c>
      <c r="E28">
        <v>431.13200000000001</v>
      </c>
      <c r="F28">
        <v>101916264.85286</v>
      </c>
    </row>
    <row r="29" spans="1:6" x14ac:dyDescent="0.25">
      <c r="A29" s="1">
        <v>45322</v>
      </c>
      <c r="B29">
        <v>428.28</v>
      </c>
      <c r="C29">
        <v>445.947</v>
      </c>
      <c r="D29">
        <v>423.07799999999997</v>
      </c>
      <c r="E29">
        <v>438.06</v>
      </c>
      <c r="F29">
        <v>114725773.17005999</v>
      </c>
    </row>
    <row r="30" spans="1:6" x14ac:dyDescent="0.25">
      <c r="A30" s="1">
        <v>45351</v>
      </c>
      <c r="B30">
        <v>439.57</v>
      </c>
      <c r="C30">
        <v>462.786</v>
      </c>
      <c r="D30">
        <v>438.88099999999997</v>
      </c>
      <c r="E30">
        <v>460.87</v>
      </c>
      <c r="F30">
        <v>104832625.93719999</v>
      </c>
    </row>
    <row r="31" spans="1:6" x14ac:dyDescent="0.25">
      <c r="A31" s="1">
        <v>45382</v>
      </c>
      <c r="B31">
        <v>461.75799999999998</v>
      </c>
      <c r="C31">
        <v>477.43299999999999</v>
      </c>
      <c r="D31">
        <v>458.03899999999999</v>
      </c>
      <c r="E31">
        <v>475.988</v>
      </c>
      <c r="F31">
        <v>107899273.46594</v>
      </c>
    </row>
    <row r="32" spans="1:6" x14ac:dyDescent="0.25">
      <c r="A32" s="1">
        <v>45412</v>
      </c>
      <c r="B32">
        <v>476.721</v>
      </c>
      <c r="C32">
        <v>477.23599999999999</v>
      </c>
      <c r="D32">
        <v>449.45100000000002</v>
      </c>
      <c r="E32">
        <v>456.90699999999998</v>
      </c>
      <c r="F32">
        <v>133569510.09656</v>
      </c>
    </row>
    <row r="33" spans="1:6" x14ac:dyDescent="0.25">
      <c r="A33" s="1">
        <v>45443</v>
      </c>
      <c r="B33">
        <v>456.25299999999999</v>
      </c>
      <c r="C33">
        <v>485.18700000000001</v>
      </c>
      <c r="D33">
        <v>454.65899999999999</v>
      </c>
      <c r="E33">
        <v>479.86900000000003</v>
      </c>
      <c r="F33">
        <v>84206614.276490003</v>
      </c>
    </row>
    <row r="34" spans="1:6" x14ac:dyDescent="0.25">
      <c r="A34" s="1">
        <v>45473</v>
      </c>
      <c r="B34">
        <v>481.53300000000002</v>
      </c>
      <c r="C34">
        <v>502.55200000000002</v>
      </c>
      <c r="D34">
        <v>475.69200000000001</v>
      </c>
      <c r="E34">
        <v>496.98700000000002</v>
      </c>
      <c r="F34">
        <v>103998604.56387</v>
      </c>
    </row>
    <row r="35" spans="1:6" x14ac:dyDescent="0.25">
      <c r="A35" s="1">
        <v>45504</v>
      </c>
      <c r="B35">
        <v>498.33800000000002</v>
      </c>
      <c r="C35">
        <v>516.13499999999999</v>
      </c>
      <c r="D35">
        <v>490.815</v>
      </c>
      <c r="E35">
        <v>502.75</v>
      </c>
      <c r="F35">
        <v>96187697.193868995</v>
      </c>
    </row>
    <row r="36" spans="1:6" x14ac:dyDescent="0.25">
      <c r="A36" s="1">
        <v>45535</v>
      </c>
      <c r="B36">
        <v>504.64800000000002</v>
      </c>
      <c r="C36">
        <v>515.32100000000003</v>
      </c>
      <c r="D36">
        <v>465.94299999999998</v>
      </c>
      <c r="E36">
        <v>514.78399999999999</v>
      </c>
      <c r="F36">
        <v>114368113.07132</v>
      </c>
    </row>
    <row r="37" spans="1:6" x14ac:dyDescent="0.25">
      <c r="A37" s="1">
        <v>45565</v>
      </c>
      <c r="B37">
        <v>511.88200000000001</v>
      </c>
      <c r="C37">
        <v>526.59</v>
      </c>
      <c r="D37">
        <v>492.68299999999999</v>
      </c>
      <c r="E37">
        <v>525.98699999999997</v>
      </c>
      <c r="F37">
        <v>160109219.45401001</v>
      </c>
    </row>
    <row r="38" spans="1:6" x14ac:dyDescent="0.25">
      <c r="A38" s="1">
        <v>45596</v>
      </c>
      <c r="B38">
        <v>525.35900000000004</v>
      </c>
      <c r="C38">
        <v>537.04200000000003</v>
      </c>
      <c r="D38">
        <v>517.923</v>
      </c>
      <c r="E38">
        <v>521.00300000000004</v>
      </c>
      <c r="F38">
        <v>98283905.63053</v>
      </c>
    </row>
    <row r="39" spans="1:6" x14ac:dyDescent="0.25">
      <c r="A39" s="1">
        <v>45626</v>
      </c>
      <c r="B39">
        <v>523.48500000000001</v>
      </c>
      <c r="C39">
        <v>552.93100000000004</v>
      </c>
      <c r="D39">
        <v>520.36500000000001</v>
      </c>
      <c r="E39">
        <v>551.68499999999995</v>
      </c>
      <c r="F39">
        <v>100035466.53904</v>
      </c>
    </row>
    <row r="40" spans="1:6" x14ac:dyDescent="0.25">
      <c r="A40" s="1">
        <v>45657</v>
      </c>
      <c r="B40">
        <v>552.59199999999998</v>
      </c>
      <c r="C40">
        <v>558.17399999999998</v>
      </c>
      <c r="D40">
        <v>534.14099999999996</v>
      </c>
      <c r="E40">
        <v>538.80999999999995</v>
      </c>
      <c r="F40">
        <v>158784963.88099</v>
      </c>
    </row>
    <row r="41" spans="1:6" x14ac:dyDescent="0.25">
      <c r="A41" s="1">
        <v>45688</v>
      </c>
      <c r="B41">
        <v>541.91999999999996</v>
      </c>
      <c r="C41">
        <v>561.66</v>
      </c>
      <c r="D41">
        <v>529.02</v>
      </c>
      <c r="E41">
        <v>553.33000000000004</v>
      </c>
      <c r="F41">
        <v>113529090</v>
      </c>
    </row>
    <row r="42" spans="1:6" x14ac:dyDescent="0.25">
      <c r="A42" s="1">
        <v>45716</v>
      </c>
      <c r="B42">
        <v>544.99</v>
      </c>
      <c r="C42">
        <v>563.91999999999996</v>
      </c>
      <c r="D42">
        <v>535.58000000000004</v>
      </c>
      <c r="E42">
        <v>546.33000000000004</v>
      </c>
      <c r="F42">
        <v>91407666</v>
      </c>
    </row>
    <row r="43" spans="1:6" x14ac:dyDescent="0.25">
      <c r="A43" s="1">
        <v>45747</v>
      </c>
      <c r="B43">
        <v>548.20000000000005</v>
      </c>
      <c r="C43">
        <v>549.29</v>
      </c>
      <c r="D43">
        <v>502.64</v>
      </c>
      <c r="E43">
        <v>513.91</v>
      </c>
      <c r="F43">
        <v>179937621</v>
      </c>
    </row>
    <row r="44" spans="1:6" x14ac:dyDescent="0.25">
      <c r="A44" s="1">
        <v>45777</v>
      </c>
      <c r="B44">
        <v>512.36</v>
      </c>
      <c r="C44">
        <v>521.49</v>
      </c>
      <c r="D44">
        <v>442.8</v>
      </c>
      <c r="E44">
        <v>509.74</v>
      </c>
      <c r="F44">
        <v>250654449</v>
      </c>
    </row>
    <row r="45" spans="1:6" x14ac:dyDescent="0.25">
      <c r="A45" s="1">
        <v>45808</v>
      </c>
      <c r="B45">
        <v>515.13</v>
      </c>
      <c r="C45">
        <v>547.45000000000005</v>
      </c>
      <c r="D45">
        <v>511.1</v>
      </c>
      <c r="E45">
        <v>541.76</v>
      </c>
      <c r="F45">
        <v>127057135</v>
      </c>
    </row>
    <row r="46" spans="1:6" x14ac:dyDescent="0.25">
      <c r="A46" s="1">
        <v>45838</v>
      </c>
      <c r="B46">
        <v>540.25</v>
      </c>
      <c r="C46">
        <v>569.15</v>
      </c>
      <c r="D46">
        <v>537.79999999999995</v>
      </c>
      <c r="E46">
        <v>568.03</v>
      </c>
      <c r="F46">
        <v>151125117</v>
      </c>
    </row>
    <row r="47" spans="1:6" x14ac:dyDescent="0.25">
      <c r="A47" s="1">
        <v>45869</v>
      </c>
      <c r="B47">
        <v>566.55999999999995</v>
      </c>
      <c r="C47">
        <v>588.16143999999997</v>
      </c>
      <c r="D47">
        <v>565.79999999999995</v>
      </c>
      <c r="E47">
        <v>581.02</v>
      </c>
      <c r="F47">
        <v>121626096</v>
      </c>
    </row>
    <row r="48" spans="1:6" x14ac:dyDescent="0.25">
      <c r="A48" s="1">
        <v>45900</v>
      </c>
      <c r="B48">
        <v>575.73</v>
      </c>
      <c r="C48">
        <v>597.07000000000005</v>
      </c>
      <c r="D48">
        <v>569.29</v>
      </c>
      <c r="E48">
        <v>593.08000000000004</v>
      </c>
      <c r="F48">
        <v>123987397</v>
      </c>
    </row>
    <row r="49" spans="1:6" x14ac:dyDescent="0.25">
      <c r="A49" s="1">
        <v>45930</v>
      </c>
      <c r="B49">
        <v>586.05999999999995</v>
      </c>
      <c r="C49">
        <v>615.26</v>
      </c>
      <c r="D49">
        <v>583.66999999999996</v>
      </c>
      <c r="E49">
        <v>612.38</v>
      </c>
      <c r="F49">
        <v>204751610</v>
      </c>
    </row>
    <row r="50" spans="1:6" x14ac:dyDescent="0.25">
      <c r="A50" s="1">
        <v>45961</v>
      </c>
      <c r="B50">
        <v>609.70000000000005</v>
      </c>
      <c r="C50">
        <v>634.13</v>
      </c>
      <c r="D50">
        <v>600.23</v>
      </c>
      <c r="E50">
        <v>627.04</v>
      </c>
      <c r="F50">
        <v>157610400</v>
      </c>
    </row>
    <row r="51" spans="1:6" x14ac:dyDescent="0.25">
      <c r="A51" s="1">
        <v>45991</v>
      </c>
      <c r="B51">
        <v>630.41999999999996</v>
      </c>
      <c r="C51">
        <v>630.54</v>
      </c>
      <c r="D51">
        <v>598.38</v>
      </c>
      <c r="E51">
        <v>628.41</v>
      </c>
      <c r="F51">
        <v>152463587</v>
      </c>
    </row>
    <row r="52" spans="1:6" x14ac:dyDescent="0.25">
      <c r="A52" s="1">
        <v>46022</v>
      </c>
      <c r="B52">
        <v>624.16999999999996</v>
      </c>
      <c r="C52">
        <v>636.07500000000005</v>
      </c>
      <c r="D52">
        <v>617.15899999999999</v>
      </c>
      <c r="E52">
        <v>627.13</v>
      </c>
      <c r="F52">
        <v>259445909</v>
      </c>
    </row>
    <row r="53" spans="1:6" x14ac:dyDescent="0.25">
      <c r="A53" s="1">
        <v>46053</v>
      </c>
      <c r="B53">
        <v>630.63499999999999</v>
      </c>
      <c r="C53">
        <v>641.80999999999995</v>
      </c>
      <c r="D53">
        <v>622.22</v>
      </c>
      <c r="E53">
        <v>636.22</v>
      </c>
      <c r="F53">
        <v>172422717</v>
      </c>
    </row>
    <row r="54" spans="1:6" x14ac:dyDescent="0.25">
      <c r="A54" s="1">
        <v>46081</v>
      </c>
      <c r="B54">
        <v>634.17999999999995</v>
      </c>
      <c r="C54">
        <v>641.15</v>
      </c>
      <c r="D54">
        <v>621.5</v>
      </c>
      <c r="E54">
        <v>637.53</v>
      </c>
      <c r="F54">
        <v>182152838</v>
      </c>
    </row>
    <row r="55" spans="1:6" x14ac:dyDescent="0.25">
      <c r="A55" s="1">
        <v>46112</v>
      </c>
      <c r="B55">
        <v>624.18499999999995</v>
      </c>
      <c r="C55">
        <v>633.34</v>
      </c>
      <c r="D55">
        <v>578.46</v>
      </c>
      <c r="E55">
        <v>597.54999999999995</v>
      </c>
      <c r="F55">
        <v>309932440</v>
      </c>
    </row>
    <row r="56" spans="1:6" x14ac:dyDescent="0.25">
      <c r="A56" s="1">
        <v>46142</v>
      </c>
      <c r="B56">
        <v>601.05999999999995</v>
      </c>
      <c r="C56">
        <v>661.77</v>
      </c>
      <c r="D56">
        <v>593.03200000000004</v>
      </c>
      <c r="E56">
        <v>660.58</v>
      </c>
      <c r="F56">
        <v>139942965</v>
      </c>
    </row>
    <row r="57" spans="1:6" x14ac:dyDescent="0.25">
      <c r="A57" s="1">
        <v>46173</v>
      </c>
      <c r="B57">
        <v>663.09</v>
      </c>
      <c r="C57">
        <v>697</v>
      </c>
      <c r="D57">
        <v>657.39</v>
      </c>
      <c r="E57">
        <v>695.49</v>
      </c>
      <c r="F57">
        <v>119984284</v>
      </c>
    </row>
    <row r="58" spans="1:6" x14ac:dyDescent="0.25">
      <c r="A58" s="1">
        <v>46203</v>
      </c>
      <c r="B58">
        <v>694.54</v>
      </c>
      <c r="C58">
        <v>699.15</v>
      </c>
      <c r="D58">
        <v>664.32010000000002</v>
      </c>
      <c r="E58">
        <v>686.81</v>
      </c>
      <c r="F58">
        <v>254777761</v>
      </c>
    </row>
    <row r="59" spans="1:6" x14ac:dyDescent="0.25">
      <c r="A59" s="1">
        <v>46234</v>
      </c>
      <c r="B59">
        <v>684.73</v>
      </c>
      <c r="C59">
        <v>694.5</v>
      </c>
      <c r="D59">
        <v>670.15499999999997</v>
      </c>
      <c r="E59">
        <v>686.65</v>
      </c>
      <c r="F59">
        <v>124795471</v>
      </c>
    </row>
    <row r="60" spans="1:6" x14ac:dyDescent="0.25">
      <c r="A60" s="1">
        <v>46265</v>
      </c>
      <c r="B60">
        <v>688.83</v>
      </c>
      <c r="C60">
        <v>716.39</v>
      </c>
      <c r="D60">
        <v>688.61</v>
      </c>
      <c r="E60">
        <v>704.89</v>
      </c>
      <c r="F60">
        <v>131019722</v>
      </c>
    </row>
    <row r="61" spans="1:6" x14ac:dyDescent="0.25">
      <c r="A61" s="1">
        <v>46295</v>
      </c>
      <c r="B61">
        <v>700.45</v>
      </c>
      <c r="C61">
        <v>714.3</v>
      </c>
      <c r="D61">
        <v>689.04</v>
      </c>
      <c r="E61">
        <v>700.86</v>
      </c>
      <c r="F61">
        <v>200315333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BC25-E013-4EEB-82C8-E926705EA895}">
  <dimension ref="A1:W54"/>
  <sheetViews>
    <sheetView tabSelected="1" topLeftCell="K1" workbookViewId="0">
      <selection activeCell="Y4" sqref="Y4"/>
    </sheetView>
  </sheetViews>
  <sheetFormatPr defaultRowHeight="15" x14ac:dyDescent="0.25"/>
  <cols>
    <col min="1" max="1" width="31.7109375" bestFit="1" customWidth="1"/>
    <col min="2" max="2" width="10.5703125" bestFit="1" customWidth="1"/>
    <col min="4" max="4" width="23.140625" bestFit="1" customWidth="1"/>
    <col min="5" max="5" width="11.5703125" bestFit="1" customWidth="1"/>
    <col min="8" max="8" width="26.5703125" bestFit="1" customWidth="1"/>
    <col min="9" max="9" width="10.5703125" bestFit="1" customWidth="1"/>
    <col min="12" max="12" width="14.85546875" bestFit="1" customWidth="1"/>
    <col min="14" max="14" width="29.7109375" bestFit="1" customWidth="1"/>
    <col min="15" max="15" width="11.85546875" bestFit="1" customWidth="1"/>
    <col min="17" max="17" width="28.85546875" bestFit="1" customWidth="1"/>
    <col min="18" max="18" width="12.5703125" bestFit="1" customWidth="1"/>
    <col min="20" max="20" width="28.7109375" customWidth="1"/>
    <col min="21" max="21" width="18.7109375" customWidth="1"/>
  </cols>
  <sheetData>
    <row r="1" spans="1:21" x14ac:dyDescent="0.25">
      <c r="A1" t="s">
        <v>7</v>
      </c>
    </row>
    <row r="2" spans="1:21" x14ac:dyDescent="0.25">
      <c r="D2" t="s">
        <v>53</v>
      </c>
      <c r="T2" t="s">
        <v>54</v>
      </c>
    </row>
    <row r="3" spans="1:21" x14ac:dyDescent="0.25">
      <c r="A3" t="s">
        <v>8</v>
      </c>
      <c r="B3" s="6">
        <f>SP500_Monthly!D2</f>
        <v>1000</v>
      </c>
      <c r="D3" t="s">
        <v>16</v>
      </c>
      <c r="H3" t="s">
        <v>19</v>
      </c>
      <c r="K3" t="s">
        <v>24</v>
      </c>
      <c r="L3" t="s">
        <v>25</v>
      </c>
      <c r="N3" t="s">
        <v>26</v>
      </c>
      <c r="Q3" t="s">
        <v>41</v>
      </c>
      <c r="T3" t="s">
        <v>50</v>
      </c>
      <c r="U3" s="4">
        <f>VOO_Monthly!J5</f>
        <v>0.74405757286192076</v>
      </c>
    </row>
    <row r="4" spans="1:21" x14ac:dyDescent="0.25">
      <c r="A4" t="s">
        <v>9</v>
      </c>
      <c r="B4" s="6">
        <f>SP500_Monthly!D60</f>
        <v>1661.4351041607849</v>
      </c>
      <c r="K4">
        <f>0</f>
        <v>0</v>
      </c>
      <c r="L4" s="6">
        <f>IF(ISNUMBER(K4),$I$5*(1+$I$6)^K4,"")</f>
        <v>200</v>
      </c>
      <c r="T4" t="s">
        <v>51</v>
      </c>
      <c r="U4" s="4">
        <f>B6</f>
        <v>0.66143510416078488</v>
      </c>
    </row>
    <row r="5" spans="1:21" x14ac:dyDescent="0.25">
      <c r="A5" t="s">
        <v>10</v>
      </c>
      <c r="B5" s="6">
        <f>B4-B3</f>
        <v>661.43510416078493</v>
      </c>
      <c r="D5" t="s">
        <v>17</v>
      </c>
      <c r="E5" s="5">
        <v>200</v>
      </c>
      <c r="H5" t="s">
        <v>8</v>
      </c>
      <c r="I5" s="6">
        <f>E5</f>
        <v>200</v>
      </c>
      <c r="K5">
        <f>IF(K4&lt;$I$7,K4+1," ")</f>
        <v>1</v>
      </c>
      <c r="L5" s="6">
        <f t="shared" ref="L5:L54" si="0">IF(ISNUMBER(K5),$I$5*(1+$I$6)^K5,"")</f>
        <v>214</v>
      </c>
      <c r="N5" t="s">
        <v>8</v>
      </c>
      <c r="O5" s="6">
        <f>I5</f>
        <v>200</v>
      </c>
      <c r="Q5" t="s">
        <v>35</v>
      </c>
      <c r="R5" s="8">
        <f>'401K_Calculator'!E3</f>
        <v>400</v>
      </c>
      <c r="T5" t="s">
        <v>52</v>
      </c>
      <c r="U5" s="4">
        <f>U3-U4</f>
        <v>8.2622468701135876E-2</v>
      </c>
    </row>
    <row r="6" spans="1:21" x14ac:dyDescent="0.25">
      <c r="A6" t="s">
        <v>11</v>
      </c>
      <c r="B6" s="3">
        <f>B5/B3</f>
        <v>0.66143510416078488</v>
      </c>
      <c r="H6" t="s">
        <v>20</v>
      </c>
      <c r="I6" s="7">
        <v>7.0000000000000007E-2</v>
      </c>
      <c r="K6">
        <f t="shared" ref="K6:K54" si="1">IF(K5&lt;$I$7,K5+1," ")</f>
        <v>2</v>
      </c>
      <c r="L6" s="6">
        <f t="shared" si="0"/>
        <v>228.98000000000002</v>
      </c>
      <c r="N6" t="s">
        <v>27</v>
      </c>
      <c r="O6" s="5">
        <v>200</v>
      </c>
      <c r="Q6" t="s">
        <v>36</v>
      </c>
      <c r="R6" s="5">
        <f>'401K_Calculator'!E4</f>
        <v>200</v>
      </c>
    </row>
    <row r="7" spans="1:21" x14ac:dyDescent="0.25">
      <c r="D7" t="s">
        <v>9</v>
      </c>
      <c r="E7" s="6">
        <f>E5*(1+$B$6)</f>
        <v>332.287020832157</v>
      </c>
      <c r="H7" t="s">
        <v>21</v>
      </c>
      <c r="I7">
        <v>20</v>
      </c>
      <c r="K7">
        <f t="shared" si="1"/>
        <v>3</v>
      </c>
      <c r="L7" s="6">
        <f t="shared" si="0"/>
        <v>245.00860000000003</v>
      </c>
      <c r="N7" t="s">
        <v>20</v>
      </c>
      <c r="O7" s="7">
        <f>I6</f>
        <v>7.0000000000000007E-2</v>
      </c>
      <c r="Q7" t="s">
        <v>37</v>
      </c>
      <c r="R7" s="5">
        <f>'401K_Calculator'!E5</f>
        <v>600</v>
      </c>
    </row>
    <row r="8" spans="1:21" x14ac:dyDescent="0.25">
      <c r="A8" t="s">
        <v>12</v>
      </c>
      <c r="B8" s="4">
        <f>MAX(SP500_Monthly!C3:C60)</f>
        <v>0.10423342503354509</v>
      </c>
      <c r="D8" t="s">
        <v>10</v>
      </c>
      <c r="E8" s="6">
        <f>E7-E5</f>
        <v>132.287020832157</v>
      </c>
      <c r="K8">
        <f t="shared" si="1"/>
        <v>4</v>
      </c>
      <c r="L8" s="6">
        <f t="shared" si="0"/>
        <v>262.15920199999999</v>
      </c>
      <c r="N8" t="s">
        <v>21</v>
      </c>
      <c r="O8">
        <f>I7</f>
        <v>20</v>
      </c>
    </row>
    <row r="9" spans="1:21" x14ac:dyDescent="0.25">
      <c r="A9" t="s">
        <v>13</v>
      </c>
      <c r="B9" s="4">
        <f>MIN(SP500_Monthly!C3:C60)</f>
        <v>-9.3395701643489287E-2</v>
      </c>
      <c r="D9" t="s">
        <v>11</v>
      </c>
      <c r="E9" s="3">
        <f>E8/E5</f>
        <v>0.66143510416078499</v>
      </c>
      <c r="H9" t="s">
        <v>22</v>
      </c>
      <c r="I9" s="8">
        <f>FV(I6,I7,0,-I5)</f>
        <v>773.93689249723593</v>
      </c>
      <c r="K9">
        <f t="shared" si="1"/>
        <v>5</v>
      </c>
      <c r="L9" s="6">
        <f t="shared" si="0"/>
        <v>280.51034614000002</v>
      </c>
      <c r="Q9" t="s">
        <v>38</v>
      </c>
      <c r="R9" s="8">
        <f>'401K_Calculator'!E7</f>
        <v>316594.73474429228</v>
      </c>
    </row>
    <row r="10" spans="1:21" x14ac:dyDescent="0.25">
      <c r="A10" t="s">
        <v>14</v>
      </c>
      <c r="B10" s="1">
        <f>INDEX(SP500_Monthly!A3:A60,MATCH(B8,SP500_Monthly!C3:C60,0))</f>
        <v>46142</v>
      </c>
      <c r="H10" t="s">
        <v>23</v>
      </c>
      <c r="I10" s="8">
        <f>I9-I5</f>
        <v>573.93689249723593</v>
      </c>
      <c r="K10">
        <f t="shared" si="1"/>
        <v>6</v>
      </c>
      <c r="L10" s="6">
        <f t="shared" si="0"/>
        <v>300.14607036979999</v>
      </c>
      <c r="N10" t="s">
        <v>22</v>
      </c>
      <c r="O10" s="9">
        <f>FV(O7/12,O8*12,-O6,-O5)</f>
        <v>104993.0797348998</v>
      </c>
      <c r="Q10" t="s">
        <v>39</v>
      </c>
      <c r="R10" s="5">
        <f>'401K_Calculator'!E8</f>
        <v>145000</v>
      </c>
    </row>
    <row r="11" spans="1:21" x14ac:dyDescent="0.25">
      <c r="A11" t="s">
        <v>15</v>
      </c>
      <c r="B11" s="1">
        <f>INDEX(SP500_Monthly!A3:A60,MATCH(B9,SP500_Monthly!C3:C60,0))</f>
        <v>44834</v>
      </c>
      <c r="K11">
        <f t="shared" si="1"/>
        <v>7</v>
      </c>
      <c r="L11" s="6">
        <f t="shared" si="0"/>
        <v>321.15629529568605</v>
      </c>
      <c r="N11" t="s">
        <v>28</v>
      </c>
      <c r="O11" s="5">
        <f>O5+(O6*O8*12)</f>
        <v>48200</v>
      </c>
      <c r="Q11" t="s">
        <v>40</v>
      </c>
      <c r="R11" s="8">
        <f>'401K_Calculator'!E9</f>
        <v>171594.73474429228</v>
      </c>
    </row>
    <row r="12" spans="1:21" x14ac:dyDescent="0.25">
      <c r="K12">
        <f t="shared" si="1"/>
        <v>8</v>
      </c>
      <c r="L12" s="6">
        <f t="shared" si="0"/>
        <v>343.63723596638403</v>
      </c>
      <c r="N12" t="s">
        <v>23</v>
      </c>
      <c r="O12" s="9">
        <f>O10-O11</f>
        <v>56793.079734899802</v>
      </c>
    </row>
    <row r="13" spans="1:21" x14ac:dyDescent="0.25">
      <c r="K13">
        <f t="shared" si="1"/>
        <v>9</v>
      </c>
      <c r="L13" s="6">
        <f t="shared" si="0"/>
        <v>367.69184248403099</v>
      </c>
    </row>
    <row r="14" spans="1:21" x14ac:dyDescent="0.25">
      <c r="K14">
        <f t="shared" si="1"/>
        <v>10</v>
      </c>
      <c r="L14" s="6">
        <f t="shared" si="0"/>
        <v>393.43027145791314</v>
      </c>
    </row>
    <row r="15" spans="1:21" x14ac:dyDescent="0.25">
      <c r="K15">
        <f t="shared" si="1"/>
        <v>11</v>
      </c>
      <c r="L15" s="6">
        <f t="shared" si="0"/>
        <v>420.97039045996712</v>
      </c>
    </row>
    <row r="16" spans="1:21" x14ac:dyDescent="0.25">
      <c r="K16">
        <f t="shared" si="1"/>
        <v>12</v>
      </c>
      <c r="L16" s="6">
        <f t="shared" si="0"/>
        <v>450.4383177921647</v>
      </c>
    </row>
    <row r="17" spans="11:23" x14ac:dyDescent="0.25">
      <c r="K17">
        <f t="shared" si="1"/>
        <v>13</v>
      </c>
      <c r="L17" s="6">
        <f t="shared" si="0"/>
        <v>481.9690000376163</v>
      </c>
    </row>
    <row r="18" spans="11:23" x14ac:dyDescent="0.25">
      <c r="K18">
        <f t="shared" si="1"/>
        <v>14</v>
      </c>
      <c r="L18" s="6">
        <f t="shared" si="0"/>
        <v>515.70683004024943</v>
      </c>
    </row>
    <row r="19" spans="11:23" x14ac:dyDescent="0.25">
      <c r="K19">
        <f t="shared" si="1"/>
        <v>15</v>
      </c>
      <c r="L19" s="6">
        <f t="shared" si="0"/>
        <v>551.80630814306687</v>
      </c>
    </row>
    <row r="20" spans="11:23" x14ac:dyDescent="0.25">
      <c r="K20">
        <f t="shared" si="1"/>
        <v>16</v>
      </c>
      <c r="L20" s="6">
        <f t="shared" si="0"/>
        <v>590.43274971308153</v>
      </c>
    </row>
    <row r="21" spans="11:23" x14ac:dyDescent="0.25">
      <c r="K21">
        <f t="shared" si="1"/>
        <v>17</v>
      </c>
      <c r="L21" s="6">
        <f t="shared" si="0"/>
        <v>631.7630421929972</v>
      </c>
    </row>
    <row r="22" spans="11:23" x14ac:dyDescent="0.25">
      <c r="K22">
        <f t="shared" si="1"/>
        <v>18</v>
      </c>
      <c r="L22" s="6">
        <f t="shared" si="0"/>
        <v>675.98645514650707</v>
      </c>
    </row>
    <row r="23" spans="11:23" ht="15" customHeight="1" x14ac:dyDescent="0.25">
      <c r="K23">
        <f t="shared" si="1"/>
        <v>19</v>
      </c>
      <c r="L23" s="6">
        <f t="shared" si="0"/>
        <v>723.30550700676258</v>
      </c>
      <c r="T23" t="s">
        <v>55</v>
      </c>
      <c r="U23" s="16"/>
      <c r="V23" s="16"/>
      <c r="W23" s="16"/>
    </row>
    <row r="24" spans="11:23" x14ac:dyDescent="0.25">
      <c r="K24">
        <f t="shared" si="1"/>
        <v>20</v>
      </c>
      <c r="L24" s="6">
        <f t="shared" si="0"/>
        <v>773.93689249723593</v>
      </c>
      <c r="T24" s="16"/>
      <c r="U24" s="16"/>
      <c r="V24" s="16"/>
      <c r="W24" s="16"/>
    </row>
    <row r="25" spans="11:23" x14ac:dyDescent="0.25">
      <c r="K25" t="str">
        <f t="shared" si="1"/>
        <v xml:space="preserve"> </v>
      </c>
      <c r="L25" s="6" t="str">
        <f t="shared" si="0"/>
        <v/>
      </c>
      <c r="T25" s="16"/>
      <c r="U25" s="16"/>
      <c r="V25" s="16"/>
      <c r="W25" s="16"/>
    </row>
    <row r="26" spans="11:23" x14ac:dyDescent="0.25">
      <c r="K26" t="str">
        <f t="shared" si="1"/>
        <v xml:space="preserve"> </v>
      </c>
      <c r="L26" s="6" t="str">
        <f t="shared" si="0"/>
        <v/>
      </c>
      <c r="T26" s="16"/>
      <c r="U26" s="16"/>
      <c r="V26" s="16"/>
      <c r="W26" s="16"/>
    </row>
    <row r="27" spans="11:23" x14ac:dyDescent="0.25">
      <c r="K27" t="str">
        <f t="shared" si="1"/>
        <v xml:space="preserve"> </v>
      </c>
      <c r="L27" s="6" t="str">
        <f t="shared" si="0"/>
        <v/>
      </c>
      <c r="T27" s="16"/>
      <c r="U27" s="16"/>
      <c r="V27" s="16"/>
      <c r="W27" s="16"/>
    </row>
    <row r="28" spans="11:23" x14ac:dyDescent="0.25">
      <c r="K28" t="str">
        <f t="shared" si="1"/>
        <v xml:space="preserve"> </v>
      </c>
      <c r="L28" s="6" t="str">
        <f t="shared" si="0"/>
        <v/>
      </c>
      <c r="T28" s="16"/>
      <c r="U28" s="16"/>
      <c r="V28" s="16"/>
      <c r="W28" s="16"/>
    </row>
    <row r="29" spans="11:23" x14ac:dyDescent="0.25">
      <c r="K29" t="str">
        <f t="shared" si="1"/>
        <v xml:space="preserve"> </v>
      </c>
      <c r="L29" s="6" t="str">
        <f t="shared" si="0"/>
        <v/>
      </c>
      <c r="T29" s="16"/>
      <c r="U29" s="16"/>
      <c r="V29" s="16"/>
      <c r="W29" s="16"/>
    </row>
    <row r="30" spans="11:23" x14ac:dyDescent="0.25">
      <c r="K30" t="str">
        <f t="shared" si="1"/>
        <v xml:space="preserve"> </v>
      </c>
      <c r="L30" s="6" t="str">
        <f t="shared" si="0"/>
        <v/>
      </c>
      <c r="T30" s="16"/>
      <c r="U30" s="16"/>
      <c r="V30" s="16"/>
      <c r="W30" s="16"/>
    </row>
    <row r="31" spans="11:23" x14ac:dyDescent="0.25">
      <c r="K31" t="str">
        <f t="shared" si="1"/>
        <v xml:space="preserve"> </v>
      </c>
      <c r="L31" s="6" t="str">
        <f t="shared" si="0"/>
        <v/>
      </c>
    </row>
    <row r="32" spans="11:23" x14ac:dyDescent="0.25">
      <c r="K32" t="str">
        <f t="shared" si="1"/>
        <v xml:space="preserve"> </v>
      </c>
      <c r="L32" s="6" t="str">
        <f t="shared" si="0"/>
        <v/>
      </c>
    </row>
    <row r="33" spans="11:12" x14ac:dyDescent="0.25">
      <c r="K33" t="str">
        <f t="shared" si="1"/>
        <v xml:space="preserve"> </v>
      </c>
      <c r="L33" s="6" t="str">
        <f t="shared" si="0"/>
        <v/>
      </c>
    </row>
    <row r="34" spans="11:12" x14ac:dyDescent="0.25">
      <c r="K34" t="str">
        <f t="shared" si="1"/>
        <v xml:space="preserve"> </v>
      </c>
      <c r="L34" s="6" t="str">
        <f t="shared" si="0"/>
        <v/>
      </c>
    </row>
    <row r="35" spans="11:12" x14ac:dyDescent="0.25">
      <c r="K35" t="str">
        <f t="shared" si="1"/>
        <v xml:space="preserve"> </v>
      </c>
      <c r="L35" s="6" t="str">
        <f t="shared" si="0"/>
        <v/>
      </c>
    </row>
    <row r="36" spans="11:12" x14ac:dyDescent="0.25">
      <c r="K36" t="str">
        <f t="shared" si="1"/>
        <v xml:space="preserve"> </v>
      </c>
      <c r="L36" s="6" t="str">
        <f t="shared" si="0"/>
        <v/>
      </c>
    </row>
    <row r="37" spans="11:12" x14ac:dyDescent="0.25">
      <c r="K37" t="str">
        <f t="shared" si="1"/>
        <v xml:space="preserve"> </v>
      </c>
      <c r="L37" s="6" t="str">
        <f t="shared" si="0"/>
        <v/>
      </c>
    </row>
    <row r="38" spans="11:12" x14ac:dyDescent="0.25">
      <c r="K38" t="str">
        <f t="shared" si="1"/>
        <v xml:space="preserve"> </v>
      </c>
      <c r="L38" s="6" t="str">
        <f t="shared" si="0"/>
        <v/>
      </c>
    </row>
    <row r="39" spans="11:12" x14ac:dyDescent="0.25">
      <c r="K39" t="str">
        <f t="shared" si="1"/>
        <v xml:space="preserve"> </v>
      </c>
      <c r="L39" s="6" t="str">
        <f t="shared" si="0"/>
        <v/>
      </c>
    </row>
    <row r="40" spans="11:12" x14ac:dyDescent="0.25">
      <c r="K40" t="str">
        <f t="shared" si="1"/>
        <v xml:space="preserve"> </v>
      </c>
      <c r="L40" s="6" t="str">
        <f t="shared" si="0"/>
        <v/>
      </c>
    </row>
    <row r="41" spans="11:12" x14ac:dyDescent="0.25">
      <c r="K41" t="str">
        <f t="shared" si="1"/>
        <v xml:space="preserve"> </v>
      </c>
      <c r="L41" s="6" t="str">
        <f t="shared" si="0"/>
        <v/>
      </c>
    </row>
    <row r="42" spans="11:12" x14ac:dyDescent="0.25">
      <c r="K42" t="str">
        <f t="shared" si="1"/>
        <v xml:space="preserve"> </v>
      </c>
      <c r="L42" s="6" t="str">
        <f t="shared" si="0"/>
        <v/>
      </c>
    </row>
    <row r="43" spans="11:12" x14ac:dyDescent="0.25">
      <c r="K43" t="str">
        <f t="shared" si="1"/>
        <v xml:space="preserve"> </v>
      </c>
      <c r="L43" s="6" t="str">
        <f t="shared" si="0"/>
        <v/>
      </c>
    </row>
    <row r="44" spans="11:12" x14ac:dyDescent="0.25">
      <c r="K44" t="str">
        <f t="shared" si="1"/>
        <v xml:space="preserve"> </v>
      </c>
      <c r="L44" s="6" t="str">
        <f t="shared" si="0"/>
        <v/>
      </c>
    </row>
    <row r="45" spans="11:12" x14ac:dyDescent="0.25">
      <c r="K45" t="str">
        <f t="shared" si="1"/>
        <v xml:space="preserve"> </v>
      </c>
      <c r="L45" s="6" t="str">
        <f t="shared" si="0"/>
        <v/>
      </c>
    </row>
    <row r="46" spans="11:12" x14ac:dyDescent="0.25">
      <c r="K46" t="str">
        <f t="shared" si="1"/>
        <v xml:space="preserve"> </v>
      </c>
      <c r="L46" s="6" t="str">
        <f t="shared" si="0"/>
        <v/>
      </c>
    </row>
    <row r="47" spans="11:12" x14ac:dyDescent="0.25">
      <c r="K47" t="str">
        <f t="shared" si="1"/>
        <v xml:space="preserve"> </v>
      </c>
      <c r="L47" s="6" t="str">
        <f t="shared" si="0"/>
        <v/>
      </c>
    </row>
    <row r="48" spans="11:12" x14ac:dyDescent="0.25">
      <c r="K48" t="str">
        <f t="shared" si="1"/>
        <v xml:space="preserve"> </v>
      </c>
      <c r="L48" s="6" t="str">
        <f t="shared" si="0"/>
        <v/>
      </c>
    </row>
    <row r="49" spans="11:12" x14ac:dyDescent="0.25">
      <c r="K49" t="str">
        <f t="shared" si="1"/>
        <v xml:space="preserve"> </v>
      </c>
      <c r="L49" s="6" t="str">
        <f t="shared" si="0"/>
        <v/>
      </c>
    </row>
    <row r="50" spans="11:12" x14ac:dyDescent="0.25">
      <c r="K50" t="str">
        <f t="shared" si="1"/>
        <v xml:space="preserve"> </v>
      </c>
      <c r="L50" s="6" t="str">
        <f t="shared" si="0"/>
        <v/>
      </c>
    </row>
    <row r="51" spans="11:12" x14ac:dyDescent="0.25">
      <c r="K51" t="str">
        <f t="shared" si="1"/>
        <v xml:space="preserve"> </v>
      </c>
      <c r="L51" s="6" t="str">
        <f t="shared" si="0"/>
        <v/>
      </c>
    </row>
    <row r="52" spans="11:12" x14ac:dyDescent="0.25">
      <c r="K52" t="str">
        <f t="shared" si="1"/>
        <v xml:space="preserve"> </v>
      </c>
      <c r="L52" s="6" t="str">
        <f t="shared" si="0"/>
        <v/>
      </c>
    </row>
    <row r="53" spans="11:12" x14ac:dyDescent="0.25">
      <c r="K53" t="str">
        <f t="shared" si="1"/>
        <v xml:space="preserve"> </v>
      </c>
      <c r="L53" s="6" t="str">
        <f t="shared" si="0"/>
        <v/>
      </c>
    </row>
    <row r="54" spans="11:12" x14ac:dyDescent="0.25">
      <c r="K54" t="str">
        <f t="shared" si="1"/>
        <v xml:space="preserve"> </v>
      </c>
      <c r="L54" s="6" t="str">
        <f t="shared" si="0"/>
        <v/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BCE6-451C-4699-BBF8-F27A82CAC51E}">
  <dimension ref="A1:F1306"/>
  <sheetViews>
    <sheetView topLeftCell="A145" workbookViewId="0">
      <selection activeCell="A58" sqref="A58"/>
    </sheetView>
  </sheetViews>
  <sheetFormatPr defaultRowHeight="15" x14ac:dyDescent="0.25"/>
  <cols>
    <col min="1" max="1" width="19" bestFit="1" customWidth="1"/>
    <col min="2" max="2" width="8.57031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>
        <v>44476</v>
      </c>
      <c r="B2">
        <v>4399.76</v>
      </c>
    </row>
    <row r="3" spans="1:6" x14ac:dyDescent="0.25">
      <c r="A3" s="1">
        <v>44477</v>
      </c>
      <c r="B3">
        <v>4391.34</v>
      </c>
    </row>
    <row r="4" spans="1:6" x14ac:dyDescent="0.25">
      <c r="A4" s="1">
        <v>44480</v>
      </c>
      <c r="B4">
        <v>4361.1899999999996</v>
      </c>
      <c r="F4">
        <f>COUNTBLANK(tbl_SP500_Raw[SP500])</f>
        <v>50</v>
      </c>
    </row>
    <row r="5" spans="1:6" x14ac:dyDescent="0.25">
      <c r="A5" s="1">
        <v>44481</v>
      </c>
      <c r="B5">
        <v>4350.6499999999996</v>
      </c>
    </row>
    <row r="6" spans="1:6" x14ac:dyDescent="0.25">
      <c r="A6" s="1">
        <v>44482</v>
      </c>
      <c r="B6">
        <v>4363.8</v>
      </c>
    </row>
    <row r="7" spans="1:6" x14ac:dyDescent="0.25">
      <c r="A7" s="1">
        <v>44483</v>
      </c>
      <c r="B7">
        <v>4438.26</v>
      </c>
    </row>
    <row r="8" spans="1:6" x14ac:dyDescent="0.25">
      <c r="A8" s="1">
        <v>44484</v>
      </c>
      <c r="B8">
        <v>4471.37</v>
      </c>
    </row>
    <row r="9" spans="1:6" x14ac:dyDescent="0.25">
      <c r="A9" s="1">
        <v>44487</v>
      </c>
      <c r="B9">
        <v>4486.46</v>
      </c>
    </row>
    <row r="10" spans="1:6" x14ac:dyDescent="0.25">
      <c r="A10" s="1">
        <v>44488</v>
      </c>
      <c r="B10">
        <v>4519.63</v>
      </c>
    </row>
    <row r="11" spans="1:6" x14ac:dyDescent="0.25">
      <c r="A11" s="1">
        <v>44489</v>
      </c>
      <c r="B11">
        <v>4536.1899999999996</v>
      </c>
    </row>
    <row r="12" spans="1:6" x14ac:dyDescent="0.25">
      <c r="A12" s="1">
        <v>44490</v>
      </c>
      <c r="B12">
        <v>4549.78</v>
      </c>
    </row>
    <row r="13" spans="1:6" x14ac:dyDescent="0.25">
      <c r="A13" s="1">
        <v>44491</v>
      </c>
      <c r="B13">
        <v>4544.8999999999996</v>
      </c>
    </row>
    <row r="14" spans="1:6" x14ac:dyDescent="0.25">
      <c r="A14" s="1">
        <v>44494</v>
      </c>
      <c r="B14">
        <v>4566.4799999999996</v>
      </c>
    </row>
    <row r="15" spans="1:6" x14ac:dyDescent="0.25">
      <c r="A15" s="1">
        <v>44495</v>
      </c>
      <c r="B15">
        <v>4574.79</v>
      </c>
    </row>
    <row r="16" spans="1:6" x14ac:dyDescent="0.25">
      <c r="A16" s="1">
        <v>44496</v>
      </c>
      <c r="B16">
        <v>4551.68</v>
      </c>
    </row>
    <row r="17" spans="1:2" x14ac:dyDescent="0.25">
      <c r="A17" s="1">
        <v>44497</v>
      </c>
      <c r="B17">
        <v>4596.42</v>
      </c>
    </row>
    <row r="18" spans="1:2" x14ac:dyDescent="0.25">
      <c r="A18" s="1">
        <v>44498</v>
      </c>
      <c r="B18">
        <v>4605.38</v>
      </c>
    </row>
    <row r="19" spans="1:2" x14ac:dyDescent="0.25">
      <c r="A19" s="1">
        <v>44501</v>
      </c>
      <c r="B19">
        <v>4613.67</v>
      </c>
    </row>
    <row r="20" spans="1:2" x14ac:dyDescent="0.25">
      <c r="A20" s="1">
        <v>44502</v>
      </c>
      <c r="B20">
        <v>4630.6499999999996</v>
      </c>
    </row>
    <row r="21" spans="1:2" x14ac:dyDescent="0.25">
      <c r="A21" s="1">
        <v>44503</v>
      </c>
      <c r="B21">
        <v>4660.57</v>
      </c>
    </row>
    <row r="22" spans="1:2" x14ac:dyDescent="0.25">
      <c r="A22" s="1">
        <v>44504</v>
      </c>
      <c r="B22">
        <v>4680.0600000000004</v>
      </c>
    </row>
    <row r="23" spans="1:2" x14ac:dyDescent="0.25">
      <c r="A23" s="1">
        <v>44505</v>
      </c>
      <c r="B23">
        <v>4697.53</v>
      </c>
    </row>
    <row r="24" spans="1:2" x14ac:dyDescent="0.25">
      <c r="A24" s="1">
        <v>44508</v>
      </c>
      <c r="B24">
        <v>4701.7</v>
      </c>
    </row>
    <row r="25" spans="1:2" x14ac:dyDescent="0.25">
      <c r="A25" s="1">
        <v>44509</v>
      </c>
      <c r="B25">
        <v>4685.25</v>
      </c>
    </row>
    <row r="26" spans="1:2" x14ac:dyDescent="0.25">
      <c r="A26" s="1">
        <v>44510</v>
      </c>
      <c r="B26">
        <v>4646.71</v>
      </c>
    </row>
    <row r="27" spans="1:2" x14ac:dyDescent="0.25">
      <c r="A27" s="1">
        <v>44511</v>
      </c>
      <c r="B27">
        <v>4649.2700000000004</v>
      </c>
    </row>
    <row r="28" spans="1:2" x14ac:dyDescent="0.25">
      <c r="A28" s="1">
        <v>44512</v>
      </c>
      <c r="B28">
        <v>4682.8500000000004</v>
      </c>
    </row>
    <row r="29" spans="1:2" x14ac:dyDescent="0.25">
      <c r="A29" s="1">
        <v>44515</v>
      </c>
      <c r="B29">
        <v>4682.8</v>
      </c>
    </row>
    <row r="30" spans="1:2" x14ac:dyDescent="0.25">
      <c r="A30" s="1">
        <v>44516</v>
      </c>
      <c r="B30">
        <v>4700.8999999999996</v>
      </c>
    </row>
    <row r="31" spans="1:2" x14ac:dyDescent="0.25">
      <c r="A31" s="1">
        <v>44517</v>
      </c>
      <c r="B31">
        <v>4688.67</v>
      </c>
    </row>
    <row r="32" spans="1:2" x14ac:dyDescent="0.25">
      <c r="A32" s="1">
        <v>44518</v>
      </c>
      <c r="B32">
        <v>4704.54</v>
      </c>
    </row>
    <row r="33" spans="1:2" x14ac:dyDescent="0.25">
      <c r="A33" s="1">
        <v>44519</v>
      </c>
      <c r="B33">
        <v>4697.96</v>
      </c>
    </row>
    <row r="34" spans="1:2" x14ac:dyDescent="0.25">
      <c r="A34" s="1">
        <v>44522</v>
      </c>
      <c r="B34">
        <v>4682.9399999999996</v>
      </c>
    </row>
    <row r="35" spans="1:2" x14ac:dyDescent="0.25">
      <c r="A35" s="1">
        <v>44523</v>
      </c>
      <c r="B35">
        <v>4690.7</v>
      </c>
    </row>
    <row r="36" spans="1:2" x14ac:dyDescent="0.25">
      <c r="A36" s="1">
        <v>44524</v>
      </c>
      <c r="B36">
        <v>4701.46</v>
      </c>
    </row>
    <row r="37" spans="1:2" x14ac:dyDescent="0.25">
      <c r="A37" s="1">
        <v>44525</v>
      </c>
    </row>
    <row r="38" spans="1:2" x14ac:dyDescent="0.25">
      <c r="A38" s="1">
        <v>44526</v>
      </c>
      <c r="B38">
        <v>4594.62</v>
      </c>
    </row>
    <row r="39" spans="1:2" x14ac:dyDescent="0.25">
      <c r="A39" s="1">
        <v>44529</v>
      </c>
      <c r="B39">
        <v>4655.2700000000004</v>
      </c>
    </row>
    <row r="40" spans="1:2" x14ac:dyDescent="0.25">
      <c r="A40" s="1">
        <v>44530</v>
      </c>
      <c r="B40">
        <v>4567</v>
      </c>
    </row>
    <row r="41" spans="1:2" x14ac:dyDescent="0.25">
      <c r="A41" s="1">
        <v>44531</v>
      </c>
      <c r="B41">
        <v>4513.04</v>
      </c>
    </row>
    <row r="42" spans="1:2" x14ac:dyDescent="0.25">
      <c r="A42" s="1">
        <v>44532</v>
      </c>
      <c r="B42">
        <v>4577.1000000000004</v>
      </c>
    </row>
    <row r="43" spans="1:2" x14ac:dyDescent="0.25">
      <c r="A43" s="1">
        <v>44533</v>
      </c>
      <c r="B43">
        <v>4538.43</v>
      </c>
    </row>
    <row r="44" spans="1:2" x14ac:dyDescent="0.25">
      <c r="A44" s="1">
        <v>44536</v>
      </c>
      <c r="B44">
        <v>4591.67</v>
      </c>
    </row>
    <row r="45" spans="1:2" x14ac:dyDescent="0.25">
      <c r="A45" s="1">
        <v>44537</v>
      </c>
      <c r="B45">
        <v>4686.75</v>
      </c>
    </row>
    <row r="46" spans="1:2" x14ac:dyDescent="0.25">
      <c r="A46" s="1">
        <v>44538</v>
      </c>
      <c r="B46">
        <v>4701.21</v>
      </c>
    </row>
    <row r="47" spans="1:2" x14ac:dyDescent="0.25">
      <c r="A47" s="1">
        <v>44539</v>
      </c>
      <c r="B47">
        <v>4667.45</v>
      </c>
    </row>
    <row r="48" spans="1:2" x14ac:dyDescent="0.25">
      <c r="A48" s="1">
        <v>44540</v>
      </c>
      <c r="B48">
        <v>4712.0200000000004</v>
      </c>
    </row>
    <row r="49" spans="1:2" x14ac:dyDescent="0.25">
      <c r="A49" s="1">
        <v>44543</v>
      </c>
      <c r="B49">
        <v>4668.97</v>
      </c>
    </row>
    <row r="50" spans="1:2" x14ac:dyDescent="0.25">
      <c r="A50" s="1">
        <v>44544</v>
      </c>
      <c r="B50">
        <v>4634.09</v>
      </c>
    </row>
    <row r="51" spans="1:2" x14ac:dyDescent="0.25">
      <c r="A51" s="1">
        <v>44545</v>
      </c>
      <c r="B51">
        <v>4709.8500000000004</v>
      </c>
    </row>
    <row r="52" spans="1:2" x14ac:dyDescent="0.25">
      <c r="A52" s="1">
        <v>44546</v>
      </c>
      <c r="B52">
        <v>4668.67</v>
      </c>
    </row>
    <row r="53" spans="1:2" x14ac:dyDescent="0.25">
      <c r="A53" s="1">
        <v>44547</v>
      </c>
      <c r="B53">
        <v>4620.6400000000003</v>
      </c>
    </row>
    <row r="54" spans="1:2" x14ac:dyDescent="0.25">
      <c r="A54" s="1">
        <v>44550</v>
      </c>
      <c r="B54">
        <v>4568.0200000000004</v>
      </c>
    </row>
    <row r="55" spans="1:2" x14ac:dyDescent="0.25">
      <c r="A55" s="1">
        <v>44551</v>
      </c>
      <c r="B55">
        <v>4649.2299999999996</v>
      </c>
    </row>
    <row r="56" spans="1:2" x14ac:dyDescent="0.25">
      <c r="A56" s="1">
        <v>44552</v>
      </c>
      <c r="B56">
        <v>4696.5600000000004</v>
      </c>
    </row>
    <row r="57" spans="1:2" x14ac:dyDescent="0.25">
      <c r="A57" s="1">
        <v>44553</v>
      </c>
      <c r="B57">
        <v>4725.79</v>
      </c>
    </row>
    <row r="58" spans="1:2" x14ac:dyDescent="0.25">
      <c r="A58" s="1">
        <v>44554</v>
      </c>
    </row>
    <row r="59" spans="1:2" x14ac:dyDescent="0.25">
      <c r="A59" s="1">
        <v>44557</v>
      </c>
      <c r="B59">
        <v>4791.1899999999996</v>
      </c>
    </row>
    <row r="60" spans="1:2" x14ac:dyDescent="0.25">
      <c r="A60" s="1">
        <v>44558</v>
      </c>
      <c r="B60">
        <v>4786.3500000000004</v>
      </c>
    </row>
    <row r="61" spans="1:2" x14ac:dyDescent="0.25">
      <c r="A61" s="1">
        <v>44559</v>
      </c>
      <c r="B61">
        <v>4793.0600000000004</v>
      </c>
    </row>
    <row r="62" spans="1:2" x14ac:dyDescent="0.25">
      <c r="A62" s="1">
        <v>44560</v>
      </c>
      <c r="B62">
        <v>4778.7299999999996</v>
      </c>
    </row>
    <row r="63" spans="1:2" x14ac:dyDescent="0.25">
      <c r="A63" s="1">
        <v>44561</v>
      </c>
      <c r="B63">
        <v>4766.18</v>
      </c>
    </row>
    <row r="64" spans="1:2" x14ac:dyDescent="0.25">
      <c r="A64" s="1">
        <v>44564</v>
      </c>
      <c r="B64">
        <v>4796.5600000000004</v>
      </c>
    </row>
    <row r="65" spans="1:2" x14ac:dyDescent="0.25">
      <c r="A65" s="1">
        <v>44565</v>
      </c>
      <c r="B65">
        <v>4793.54</v>
      </c>
    </row>
    <row r="66" spans="1:2" x14ac:dyDescent="0.25">
      <c r="A66" s="1">
        <v>44566</v>
      </c>
      <c r="B66">
        <v>4700.58</v>
      </c>
    </row>
    <row r="67" spans="1:2" x14ac:dyDescent="0.25">
      <c r="A67" s="1">
        <v>44567</v>
      </c>
      <c r="B67">
        <v>4696.05</v>
      </c>
    </row>
    <row r="68" spans="1:2" x14ac:dyDescent="0.25">
      <c r="A68" s="1">
        <v>44568</v>
      </c>
      <c r="B68">
        <v>4677.03</v>
      </c>
    </row>
    <row r="69" spans="1:2" x14ac:dyDescent="0.25">
      <c r="A69" s="1">
        <v>44571</v>
      </c>
      <c r="B69">
        <v>4670.29</v>
      </c>
    </row>
    <row r="70" spans="1:2" x14ac:dyDescent="0.25">
      <c r="A70" s="1">
        <v>44572</v>
      </c>
      <c r="B70">
        <v>4713.07</v>
      </c>
    </row>
    <row r="71" spans="1:2" x14ac:dyDescent="0.25">
      <c r="A71" s="1">
        <v>44573</v>
      </c>
      <c r="B71">
        <v>4726.3500000000004</v>
      </c>
    </row>
    <row r="72" spans="1:2" x14ac:dyDescent="0.25">
      <c r="A72" s="1">
        <v>44574</v>
      </c>
      <c r="B72">
        <v>4659.03</v>
      </c>
    </row>
    <row r="73" spans="1:2" x14ac:dyDescent="0.25">
      <c r="A73" s="1">
        <v>44575</v>
      </c>
      <c r="B73">
        <v>4662.8500000000004</v>
      </c>
    </row>
    <row r="74" spans="1:2" x14ac:dyDescent="0.25">
      <c r="A74" s="1">
        <v>44578</v>
      </c>
    </row>
    <row r="75" spans="1:2" x14ac:dyDescent="0.25">
      <c r="A75" s="1">
        <v>44579</v>
      </c>
      <c r="B75">
        <v>4577.1099999999997</v>
      </c>
    </row>
    <row r="76" spans="1:2" x14ac:dyDescent="0.25">
      <c r="A76" s="1">
        <v>44580</v>
      </c>
      <c r="B76">
        <v>4532.76</v>
      </c>
    </row>
    <row r="77" spans="1:2" x14ac:dyDescent="0.25">
      <c r="A77" s="1">
        <v>44581</v>
      </c>
      <c r="B77">
        <v>4482.7299999999996</v>
      </c>
    </row>
    <row r="78" spans="1:2" x14ac:dyDescent="0.25">
      <c r="A78" s="1">
        <v>44582</v>
      </c>
      <c r="B78">
        <v>4397.9399999999996</v>
      </c>
    </row>
    <row r="79" spans="1:2" x14ac:dyDescent="0.25">
      <c r="A79" s="1">
        <v>44585</v>
      </c>
      <c r="B79">
        <v>4410.13</v>
      </c>
    </row>
    <row r="80" spans="1:2" x14ac:dyDescent="0.25">
      <c r="A80" s="1">
        <v>44586</v>
      </c>
      <c r="B80">
        <v>4356.45</v>
      </c>
    </row>
    <row r="81" spans="1:2" x14ac:dyDescent="0.25">
      <c r="A81" s="1">
        <v>44587</v>
      </c>
      <c r="B81">
        <v>4349.93</v>
      </c>
    </row>
    <row r="82" spans="1:2" x14ac:dyDescent="0.25">
      <c r="A82" s="1">
        <v>44588</v>
      </c>
      <c r="B82">
        <v>4326.51</v>
      </c>
    </row>
    <row r="83" spans="1:2" x14ac:dyDescent="0.25">
      <c r="A83" s="1">
        <v>44589</v>
      </c>
      <c r="B83">
        <v>4431.8500000000004</v>
      </c>
    </row>
    <row r="84" spans="1:2" x14ac:dyDescent="0.25">
      <c r="A84" s="1">
        <v>44592</v>
      </c>
      <c r="B84">
        <v>4515.55</v>
      </c>
    </row>
    <row r="85" spans="1:2" x14ac:dyDescent="0.25">
      <c r="A85" s="1">
        <v>44593</v>
      </c>
      <c r="B85">
        <v>4546.54</v>
      </c>
    </row>
    <row r="86" spans="1:2" x14ac:dyDescent="0.25">
      <c r="A86" s="1">
        <v>44594</v>
      </c>
      <c r="B86">
        <v>4589.38</v>
      </c>
    </row>
    <row r="87" spans="1:2" x14ac:dyDescent="0.25">
      <c r="A87" s="1">
        <v>44595</v>
      </c>
      <c r="B87">
        <v>4477.4399999999996</v>
      </c>
    </row>
    <row r="88" spans="1:2" x14ac:dyDescent="0.25">
      <c r="A88" s="1">
        <v>44596</v>
      </c>
      <c r="B88">
        <v>4500.53</v>
      </c>
    </row>
    <row r="89" spans="1:2" x14ac:dyDescent="0.25">
      <c r="A89" s="1">
        <v>44599</v>
      </c>
      <c r="B89">
        <v>4483.87</v>
      </c>
    </row>
    <row r="90" spans="1:2" x14ac:dyDescent="0.25">
      <c r="A90" s="1">
        <v>44600</v>
      </c>
      <c r="B90">
        <v>4521.54</v>
      </c>
    </row>
    <row r="91" spans="1:2" x14ac:dyDescent="0.25">
      <c r="A91" s="1">
        <v>44601</v>
      </c>
      <c r="B91">
        <v>4587.18</v>
      </c>
    </row>
    <row r="92" spans="1:2" x14ac:dyDescent="0.25">
      <c r="A92" s="1">
        <v>44602</v>
      </c>
      <c r="B92">
        <v>4504.08</v>
      </c>
    </row>
    <row r="93" spans="1:2" x14ac:dyDescent="0.25">
      <c r="A93" s="1">
        <v>44603</v>
      </c>
      <c r="B93">
        <v>4418.6400000000003</v>
      </c>
    </row>
    <row r="94" spans="1:2" x14ac:dyDescent="0.25">
      <c r="A94" s="1">
        <v>44606</v>
      </c>
      <c r="B94">
        <v>4401.67</v>
      </c>
    </row>
    <row r="95" spans="1:2" x14ac:dyDescent="0.25">
      <c r="A95" s="1">
        <v>44607</v>
      </c>
      <c r="B95">
        <v>4471.07</v>
      </c>
    </row>
    <row r="96" spans="1:2" x14ac:dyDescent="0.25">
      <c r="A96" s="1">
        <v>44608</v>
      </c>
      <c r="B96">
        <v>4475.01</v>
      </c>
    </row>
    <row r="97" spans="1:2" x14ac:dyDescent="0.25">
      <c r="A97" s="1">
        <v>44609</v>
      </c>
      <c r="B97">
        <v>4380.26</v>
      </c>
    </row>
    <row r="98" spans="1:2" x14ac:dyDescent="0.25">
      <c r="A98" s="1">
        <v>44610</v>
      </c>
      <c r="B98">
        <v>4348.87</v>
      </c>
    </row>
    <row r="99" spans="1:2" x14ac:dyDescent="0.25">
      <c r="A99" s="1">
        <v>44613</v>
      </c>
    </row>
    <row r="100" spans="1:2" x14ac:dyDescent="0.25">
      <c r="A100" s="1">
        <v>44614</v>
      </c>
      <c r="B100">
        <v>4304.76</v>
      </c>
    </row>
    <row r="101" spans="1:2" x14ac:dyDescent="0.25">
      <c r="A101" s="1">
        <v>44615</v>
      </c>
      <c r="B101">
        <v>4225.5</v>
      </c>
    </row>
    <row r="102" spans="1:2" x14ac:dyDescent="0.25">
      <c r="A102" s="1">
        <v>44616</v>
      </c>
      <c r="B102">
        <v>4288.7</v>
      </c>
    </row>
    <row r="103" spans="1:2" x14ac:dyDescent="0.25">
      <c r="A103" s="1">
        <v>44617</v>
      </c>
      <c r="B103">
        <v>4384.6499999999996</v>
      </c>
    </row>
    <row r="104" spans="1:2" x14ac:dyDescent="0.25">
      <c r="A104" s="1">
        <v>44620</v>
      </c>
      <c r="B104">
        <v>4373.9399999999996</v>
      </c>
    </row>
    <row r="105" spans="1:2" x14ac:dyDescent="0.25">
      <c r="A105" s="1">
        <v>44621</v>
      </c>
      <c r="B105">
        <v>4306.26</v>
      </c>
    </row>
    <row r="106" spans="1:2" x14ac:dyDescent="0.25">
      <c r="A106" s="1">
        <v>44622</v>
      </c>
      <c r="B106">
        <v>4386.54</v>
      </c>
    </row>
    <row r="107" spans="1:2" x14ac:dyDescent="0.25">
      <c r="A107" s="1">
        <v>44623</v>
      </c>
      <c r="B107">
        <v>4363.49</v>
      </c>
    </row>
    <row r="108" spans="1:2" x14ac:dyDescent="0.25">
      <c r="A108" s="1">
        <v>44624</v>
      </c>
      <c r="B108">
        <v>4328.87</v>
      </c>
    </row>
    <row r="109" spans="1:2" x14ac:dyDescent="0.25">
      <c r="A109" s="1">
        <v>44627</v>
      </c>
      <c r="B109">
        <v>4201.09</v>
      </c>
    </row>
    <row r="110" spans="1:2" x14ac:dyDescent="0.25">
      <c r="A110" s="1">
        <v>44628</v>
      </c>
      <c r="B110">
        <v>4170.7</v>
      </c>
    </row>
    <row r="111" spans="1:2" x14ac:dyDescent="0.25">
      <c r="A111" s="1">
        <v>44629</v>
      </c>
      <c r="B111">
        <v>4277.88</v>
      </c>
    </row>
    <row r="112" spans="1:2" x14ac:dyDescent="0.25">
      <c r="A112" s="1">
        <v>44630</v>
      </c>
      <c r="B112">
        <v>4259.5200000000004</v>
      </c>
    </row>
    <row r="113" spans="1:2" x14ac:dyDescent="0.25">
      <c r="A113" s="1">
        <v>44631</v>
      </c>
      <c r="B113">
        <v>4204.3100000000004</v>
      </c>
    </row>
    <row r="114" spans="1:2" x14ac:dyDescent="0.25">
      <c r="A114" s="1">
        <v>44634</v>
      </c>
      <c r="B114">
        <v>4173.1099999999997</v>
      </c>
    </row>
    <row r="115" spans="1:2" x14ac:dyDescent="0.25">
      <c r="A115" s="1">
        <v>44635</v>
      </c>
      <c r="B115">
        <v>4262.45</v>
      </c>
    </row>
    <row r="116" spans="1:2" x14ac:dyDescent="0.25">
      <c r="A116" s="1">
        <v>44636</v>
      </c>
      <c r="B116">
        <v>4357.8599999999997</v>
      </c>
    </row>
    <row r="117" spans="1:2" x14ac:dyDescent="0.25">
      <c r="A117" s="1">
        <v>44637</v>
      </c>
      <c r="B117">
        <v>4411.67</v>
      </c>
    </row>
    <row r="118" spans="1:2" x14ac:dyDescent="0.25">
      <c r="A118" s="1">
        <v>44638</v>
      </c>
      <c r="B118">
        <v>4463.12</v>
      </c>
    </row>
    <row r="119" spans="1:2" x14ac:dyDescent="0.25">
      <c r="A119" s="1">
        <v>44641</v>
      </c>
      <c r="B119">
        <v>4461.18</v>
      </c>
    </row>
    <row r="120" spans="1:2" x14ac:dyDescent="0.25">
      <c r="A120" s="1">
        <v>44642</v>
      </c>
      <c r="B120">
        <v>4511.6099999999997</v>
      </c>
    </row>
    <row r="121" spans="1:2" x14ac:dyDescent="0.25">
      <c r="A121" s="1">
        <v>44643</v>
      </c>
      <c r="B121">
        <v>4456.24</v>
      </c>
    </row>
    <row r="122" spans="1:2" x14ac:dyDescent="0.25">
      <c r="A122" s="1">
        <v>44644</v>
      </c>
      <c r="B122">
        <v>4520.16</v>
      </c>
    </row>
    <row r="123" spans="1:2" x14ac:dyDescent="0.25">
      <c r="A123" s="1">
        <v>44645</v>
      </c>
      <c r="B123">
        <v>4543.0600000000004</v>
      </c>
    </row>
    <row r="124" spans="1:2" x14ac:dyDescent="0.25">
      <c r="A124" s="1">
        <v>44648</v>
      </c>
      <c r="B124">
        <v>4575.5200000000004</v>
      </c>
    </row>
    <row r="125" spans="1:2" x14ac:dyDescent="0.25">
      <c r="A125" s="1">
        <v>44649</v>
      </c>
      <c r="B125">
        <v>4631.6000000000004</v>
      </c>
    </row>
    <row r="126" spans="1:2" x14ac:dyDescent="0.25">
      <c r="A126" s="1">
        <v>44650</v>
      </c>
      <c r="B126">
        <v>4602.45</v>
      </c>
    </row>
    <row r="127" spans="1:2" x14ac:dyDescent="0.25">
      <c r="A127" s="1">
        <v>44651</v>
      </c>
      <c r="B127">
        <v>4530.41</v>
      </c>
    </row>
    <row r="128" spans="1:2" x14ac:dyDescent="0.25">
      <c r="A128" s="1">
        <v>44652</v>
      </c>
      <c r="B128">
        <v>4545.8599999999997</v>
      </c>
    </row>
    <row r="129" spans="1:2" x14ac:dyDescent="0.25">
      <c r="A129" s="1">
        <v>44655</v>
      </c>
      <c r="B129">
        <v>4582.6400000000003</v>
      </c>
    </row>
    <row r="130" spans="1:2" x14ac:dyDescent="0.25">
      <c r="A130" s="1">
        <v>44656</v>
      </c>
      <c r="B130">
        <v>4525.12</v>
      </c>
    </row>
    <row r="131" spans="1:2" x14ac:dyDescent="0.25">
      <c r="A131" s="1">
        <v>44657</v>
      </c>
      <c r="B131">
        <v>4481.1499999999996</v>
      </c>
    </row>
    <row r="132" spans="1:2" x14ac:dyDescent="0.25">
      <c r="A132" s="1">
        <v>44658</v>
      </c>
      <c r="B132">
        <v>4500.21</v>
      </c>
    </row>
    <row r="133" spans="1:2" x14ac:dyDescent="0.25">
      <c r="A133" s="1">
        <v>44659</v>
      </c>
      <c r="B133">
        <v>4488.28</v>
      </c>
    </row>
    <row r="134" spans="1:2" x14ac:dyDescent="0.25">
      <c r="A134" s="1">
        <v>44662</v>
      </c>
      <c r="B134">
        <v>4412.53</v>
      </c>
    </row>
    <row r="135" spans="1:2" x14ac:dyDescent="0.25">
      <c r="A135" s="1">
        <v>44663</v>
      </c>
      <c r="B135">
        <v>4397.45</v>
      </c>
    </row>
    <row r="136" spans="1:2" x14ac:dyDescent="0.25">
      <c r="A136" s="1">
        <v>44664</v>
      </c>
      <c r="B136">
        <v>4446.59</v>
      </c>
    </row>
    <row r="137" spans="1:2" x14ac:dyDescent="0.25">
      <c r="A137" s="1">
        <v>44665</v>
      </c>
      <c r="B137">
        <v>4392.59</v>
      </c>
    </row>
    <row r="138" spans="1:2" x14ac:dyDescent="0.25">
      <c r="A138" s="1">
        <v>44666</v>
      </c>
    </row>
    <row r="139" spans="1:2" x14ac:dyDescent="0.25">
      <c r="A139" s="1">
        <v>44669</v>
      </c>
      <c r="B139">
        <v>4391.6899999999996</v>
      </c>
    </row>
    <row r="140" spans="1:2" x14ac:dyDescent="0.25">
      <c r="A140" s="1">
        <v>44670</v>
      </c>
      <c r="B140">
        <v>4462.21</v>
      </c>
    </row>
    <row r="141" spans="1:2" x14ac:dyDescent="0.25">
      <c r="A141" s="1">
        <v>44671</v>
      </c>
      <c r="B141">
        <v>4459.45</v>
      </c>
    </row>
    <row r="142" spans="1:2" x14ac:dyDescent="0.25">
      <c r="A142" s="1">
        <v>44672</v>
      </c>
      <c r="B142">
        <v>4393.66</v>
      </c>
    </row>
    <row r="143" spans="1:2" x14ac:dyDescent="0.25">
      <c r="A143" s="1">
        <v>44673</v>
      </c>
      <c r="B143">
        <v>4271.78</v>
      </c>
    </row>
    <row r="144" spans="1:2" x14ac:dyDescent="0.25">
      <c r="A144" s="1">
        <v>44676</v>
      </c>
      <c r="B144">
        <v>4296.12</v>
      </c>
    </row>
    <row r="145" spans="1:2" x14ac:dyDescent="0.25">
      <c r="A145" s="1">
        <v>44677</v>
      </c>
      <c r="B145">
        <v>4175.2</v>
      </c>
    </row>
    <row r="146" spans="1:2" x14ac:dyDescent="0.25">
      <c r="A146" s="1">
        <v>44678</v>
      </c>
      <c r="B146">
        <v>4183.96</v>
      </c>
    </row>
    <row r="147" spans="1:2" x14ac:dyDescent="0.25">
      <c r="A147" s="1">
        <v>44679</v>
      </c>
      <c r="B147">
        <v>4287.5</v>
      </c>
    </row>
    <row r="148" spans="1:2" x14ac:dyDescent="0.25">
      <c r="A148" s="1">
        <v>44680</v>
      </c>
      <c r="B148">
        <v>4131.93</v>
      </c>
    </row>
    <row r="149" spans="1:2" x14ac:dyDescent="0.25">
      <c r="A149" s="1">
        <v>44683</v>
      </c>
      <c r="B149">
        <v>4155.38</v>
      </c>
    </row>
    <row r="150" spans="1:2" x14ac:dyDescent="0.25">
      <c r="A150" s="1">
        <v>44684</v>
      </c>
      <c r="B150">
        <v>4175.4799999999996</v>
      </c>
    </row>
    <row r="151" spans="1:2" x14ac:dyDescent="0.25">
      <c r="A151" s="1">
        <v>44685</v>
      </c>
      <c r="B151">
        <v>4300.17</v>
      </c>
    </row>
    <row r="152" spans="1:2" x14ac:dyDescent="0.25">
      <c r="A152" s="1">
        <v>44686</v>
      </c>
      <c r="B152">
        <v>4146.87</v>
      </c>
    </row>
    <row r="153" spans="1:2" x14ac:dyDescent="0.25">
      <c r="A153" s="1">
        <v>44687</v>
      </c>
      <c r="B153">
        <v>4123.34</v>
      </c>
    </row>
    <row r="154" spans="1:2" x14ac:dyDescent="0.25">
      <c r="A154" s="1">
        <v>44690</v>
      </c>
      <c r="B154">
        <v>3991.24</v>
      </c>
    </row>
    <row r="155" spans="1:2" x14ac:dyDescent="0.25">
      <c r="A155" s="1">
        <v>44691</v>
      </c>
      <c r="B155">
        <v>4001.05</v>
      </c>
    </row>
    <row r="156" spans="1:2" x14ac:dyDescent="0.25">
      <c r="A156" s="1">
        <v>44692</v>
      </c>
      <c r="B156">
        <v>3935.18</v>
      </c>
    </row>
    <row r="157" spans="1:2" x14ac:dyDescent="0.25">
      <c r="A157" s="1">
        <v>44693</v>
      </c>
      <c r="B157">
        <v>3930.08</v>
      </c>
    </row>
    <row r="158" spans="1:2" x14ac:dyDescent="0.25">
      <c r="A158" s="1">
        <v>44694</v>
      </c>
      <c r="B158">
        <v>4023.89</v>
      </c>
    </row>
    <row r="159" spans="1:2" x14ac:dyDescent="0.25">
      <c r="A159" s="1">
        <v>44697</v>
      </c>
      <c r="B159">
        <v>4008.01</v>
      </c>
    </row>
    <row r="160" spans="1:2" x14ac:dyDescent="0.25">
      <c r="A160" s="1">
        <v>44698</v>
      </c>
      <c r="B160">
        <v>4088.85</v>
      </c>
    </row>
    <row r="161" spans="1:2" x14ac:dyDescent="0.25">
      <c r="A161" s="1">
        <v>44699</v>
      </c>
      <c r="B161">
        <v>3923.68</v>
      </c>
    </row>
    <row r="162" spans="1:2" x14ac:dyDescent="0.25">
      <c r="A162" s="1">
        <v>44700</v>
      </c>
      <c r="B162">
        <v>3900.79</v>
      </c>
    </row>
    <row r="163" spans="1:2" x14ac:dyDescent="0.25">
      <c r="A163" s="1">
        <v>44701</v>
      </c>
      <c r="B163">
        <v>3901.36</v>
      </c>
    </row>
    <row r="164" spans="1:2" x14ac:dyDescent="0.25">
      <c r="A164" s="1">
        <v>44704</v>
      </c>
      <c r="B164">
        <v>3973.75</v>
      </c>
    </row>
    <row r="165" spans="1:2" x14ac:dyDescent="0.25">
      <c r="A165" s="1">
        <v>44705</v>
      </c>
      <c r="B165">
        <v>3941.48</v>
      </c>
    </row>
    <row r="166" spans="1:2" x14ac:dyDescent="0.25">
      <c r="A166" s="1">
        <v>44706</v>
      </c>
      <c r="B166">
        <v>3978.73</v>
      </c>
    </row>
    <row r="167" spans="1:2" x14ac:dyDescent="0.25">
      <c r="A167" s="1">
        <v>44707</v>
      </c>
      <c r="B167">
        <v>4057.84</v>
      </c>
    </row>
    <row r="168" spans="1:2" x14ac:dyDescent="0.25">
      <c r="A168" s="1">
        <v>44708</v>
      </c>
      <c r="B168">
        <v>4158.24</v>
      </c>
    </row>
    <row r="169" spans="1:2" x14ac:dyDescent="0.25">
      <c r="A169" s="1">
        <v>44711</v>
      </c>
    </row>
    <row r="170" spans="1:2" x14ac:dyDescent="0.25">
      <c r="A170" s="1">
        <v>44712</v>
      </c>
      <c r="B170">
        <v>4132.1499999999996</v>
      </c>
    </row>
    <row r="171" spans="1:2" x14ac:dyDescent="0.25">
      <c r="A171" s="1">
        <v>44713</v>
      </c>
      <c r="B171">
        <v>4101.2299999999996</v>
      </c>
    </row>
    <row r="172" spans="1:2" x14ac:dyDescent="0.25">
      <c r="A172" s="1">
        <v>44714</v>
      </c>
      <c r="B172">
        <v>4176.82</v>
      </c>
    </row>
    <row r="173" spans="1:2" x14ac:dyDescent="0.25">
      <c r="A173" s="1">
        <v>44715</v>
      </c>
      <c r="B173">
        <v>4108.54</v>
      </c>
    </row>
    <row r="174" spans="1:2" x14ac:dyDescent="0.25">
      <c r="A174" s="1">
        <v>44718</v>
      </c>
      <c r="B174">
        <v>4121.43</v>
      </c>
    </row>
    <row r="175" spans="1:2" x14ac:dyDescent="0.25">
      <c r="A175" s="1">
        <v>44719</v>
      </c>
      <c r="B175">
        <v>4160.68</v>
      </c>
    </row>
    <row r="176" spans="1:2" x14ac:dyDescent="0.25">
      <c r="A176" s="1">
        <v>44720</v>
      </c>
      <c r="B176">
        <v>4115.7700000000004</v>
      </c>
    </row>
    <row r="177" spans="1:2" x14ac:dyDescent="0.25">
      <c r="A177" s="1">
        <v>44721</v>
      </c>
      <c r="B177">
        <v>4017.82</v>
      </c>
    </row>
    <row r="178" spans="1:2" x14ac:dyDescent="0.25">
      <c r="A178" s="1">
        <v>44722</v>
      </c>
      <c r="B178">
        <v>3900.86</v>
      </c>
    </row>
    <row r="179" spans="1:2" x14ac:dyDescent="0.25">
      <c r="A179" s="1">
        <v>44725</v>
      </c>
      <c r="B179">
        <v>3749.63</v>
      </c>
    </row>
    <row r="180" spans="1:2" x14ac:dyDescent="0.25">
      <c r="A180" s="1">
        <v>44726</v>
      </c>
      <c r="B180">
        <v>3735.48</v>
      </c>
    </row>
    <row r="181" spans="1:2" x14ac:dyDescent="0.25">
      <c r="A181" s="1">
        <v>44727</v>
      </c>
      <c r="B181">
        <v>3789.99</v>
      </c>
    </row>
    <row r="182" spans="1:2" x14ac:dyDescent="0.25">
      <c r="A182" s="1">
        <v>44728</v>
      </c>
      <c r="B182">
        <v>3666.77</v>
      </c>
    </row>
    <row r="183" spans="1:2" x14ac:dyDescent="0.25">
      <c r="A183" s="1">
        <v>44729</v>
      </c>
      <c r="B183">
        <v>3674.84</v>
      </c>
    </row>
    <row r="184" spans="1:2" x14ac:dyDescent="0.25">
      <c r="A184" s="1">
        <v>44732</v>
      </c>
    </row>
    <row r="185" spans="1:2" x14ac:dyDescent="0.25">
      <c r="A185" s="1">
        <v>44733</v>
      </c>
      <c r="B185">
        <v>3764.79</v>
      </c>
    </row>
    <row r="186" spans="1:2" x14ac:dyDescent="0.25">
      <c r="A186" s="1">
        <v>44734</v>
      </c>
      <c r="B186">
        <v>3759.89</v>
      </c>
    </row>
    <row r="187" spans="1:2" x14ac:dyDescent="0.25">
      <c r="A187" s="1">
        <v>44735</v>
      </c>
      <c r="B187">
        <v>3795.73</v>
      </c>
    </row>
    <row r="188" spans="1:2" x14ac:dyDescent="0.25">
      <c r="A188" s="1">
        <v>44736</v>
      </c>
      <c r="B188">
        <v>3911.74</v>
      </c>
    </row>
    <row r="189" spans="1:2" x14ac:dyDescent="0.25">
      <c r="A189" s="1">
        <v>44739</v>
      </c>
      <c r="B189">
        <v>3900.11</v>
      </c>
    </row>
    <row r="190" spans="1:2" x14ac:dyDescent="0.25">
      <c r="A190" s="1">
        <v>44740</v>
      </c>
      <c r="B190">
        <v>3821.55</v>
      </c>
    </row>
    <row r="191" spans="1:2" x14ac:dyDescent="0.25">
      <c r="A191" s="1">
        <v>44741</v>
      </c>
      <c r="B191">
        <v>3818.83</v>
      </c>
    </row>
    <row r="192" spans="1:2" x14ac:dyDescent="0.25">
      <c r="A192" s="1">
        <v>44742</v>
      </c>
      <c r="B192">
        <v>3785.38</v>
      </c>
    </row>
    <row r="193" spans="1:2" x14ac:dyDescent="0.25">
      <c r="A193" s="1">
        <v>44743</v>
      </c>
      <c r="B193">
        <v>3825.33</v>
      </c>
    </row>
    <row r="194" spans="1:2" x14ac:dyDescent="0.25">
      <c r="A194" s="1">
        <v>44746</v>
      </c>
    </row>
    <row r="195" spans="1:2" x14ac:dyDescent="0.25">
      <c r="A195" s="1">
        <v>44747</v>
      </c>
      <c r="B195">
        <v>3831.39</v>
      </c>
    </row>
    <row r="196" spans="1:2" x14ac:dyDescent="0.25">
      <c r="A196" s="1">
        <v>44748</v>
      </c>
      <c r="B196">
        <v>3845.08</v>
      </c>
    </row>
    <row r="197" spans="1:2" x14ac:dyDescent="0.25">
      <c r="A197" s="1">
        <v>44749</v>
      </c>
      <c r="B197">
        <v>3902.62</v>
      </c>
    </row>
    <row r="198" spans="1:2" x14ac:dyDescent="0.25">
      <c r="A198" s="1">
        <v>44750</v>
      </c>
      <c r="B198">
        <v>3899.38</v>
      </c>
    </row>
    <row r="199" spans="1:2" x14ac:dyDescent="0.25">
      <c r="A199" s="1">
        <v>44753</v>
      </c>
      <c r="B199">
        <v>3854.43</v>
      </c>
    </row>
    <row r="200" spans="1:2" x14ac:dyDescent="0.25">
      <c r="A200" s="1">
        <v>44754</v>
      </c>
      <c r="B200">
        <v>3818.8</v>
      </c>
    </row>
    <row r="201" spans="1:2" x14ac:dyDescent="0.25">
      <c r="A201" s="1">
        <v>44755</v>
      </c>
      <c r="B201">
        <v>3801.78</v>
      </c>
    </row>
    <row r="202" spans="1:2" x14ac:dyDescent="0.25">
      <c r="A202" s="1">
        <v>44756</v>
      </c>
      <c r="B202">
        <v>3790.38</v>
      </c>
    </row>
    <row r="203" spans="1:2" x14ac:dyDescent="0.25">
      <c r="A203" s="1">
        <v>44757</v>
      </c>
      <c r="B203">
        <v>3863.16</v>
      </c>
    </row>
    <row r="204" spans="1:2" x14ac:dyDescent="0.25">
      <c r="A204" s="1">
        <v>44760</v>
      </c>
      <c r="B204">
        <v>3830.85</v>
      </c>
    </row>
    <row r="205" spans="1:2" x14ac:dyDescent="0.25">
      <c r="A205" s="1">
        <v>44761</v>
      </c>
      <c r="B205">
        <v>3936.69</v>
      </c>
    </row>
    <row r="206" spans="1:2" x14ac:dyDescent="0.25">
      <c r="A206" s="1">
        <v>44762</v>
      </c>
      <c r="B206">
        <v>3959.9</v>
      </c>
    </row>
    <row r="207" spans="1:2" x14ac:dyDescent="0.25">
      <c r="A207" s="1">
        <v>44763</v>
      </c>
      <c r="B207">
        <v>3998.95</v>
      </c>
    </row>
    <row r="208" spans="1:2" x14ac:dyDescent="0.25">
      <c r="A208" s="1">
        <v>44764</v>
      </c>
      <c r="B208">
        <v>3961.63</v>
      </c>
    </row>
    <row r="209" spans="1:2" x14ac:dyDescent="0.25">
      <c r="A209" s="1">
        <v>44767</v>
      </c>
      <c r="B209">
        <v>3966.84</v>
      </c>
    </row>
    <row r="210" spans="1:2" x14ac:dyDescent="0.25">
      <c r="A210" s="1">
        <v>44768</v>
      </c>
      <c r="B210">
        <v>3921.05</v>
      </c>
    </row>
    <row r="211" spans="1:2" x14ac:dyDescent="0.25">
      <c r="A211" s="1">
        <v>44769</v>
      </c>
      <c r="B211">
        <v>4023.61</v>
      </c>
    </row>
    <row r="212" spans="1:2" x14ac:dyDescent="0.25">
      <c r="A212" s="1">
        <v>44770</v>
      </c>
      <c r="B212">
        <v>4072.43</v>
      </c>
    </row>
    <row r="213" spans="1:2" x14ac:dyDescent="0.25">
      <c r="A213" s="1">
        <v>44771</v>
      </c>
      <c r="B213">
        <v>4130.29</v>
      </c>
    </row>
    <row r="214" spans="1:2" x14ac:dyDescent="0.25">
      <c r="A214" s="1">
        <v>44774</v>
      </c>
      <c r="B214">
        <v>4118.63</v>
      </c>
    </row>
    <row r="215" spans="1:2" x14ac:dyDescent="0.25">
      <c r="A215" s="1">
        <v>44775</v>
      </c>
      <c r="B215">
        <v>4091.19</v>
      </c>
    </row>
    <row r="216" spans="1:2" x14ac:dyDescent="0.25">
      <c r="A216" s="1">
        <v>44776</v>
      </c>
      <c r="B216">
        <v>4155.17</v>
      </c>
    </row>
    <row r="217" spans="1:2" x14ac:dyDescent="0.25">
      <c r="A217" s="1">
        <v>44777</v>
      </c>
      <c r="B217">
        <v>4151.9399999999996</v>
      </c>
    </row>
    <row r="218" spans="1:2" x14ac:dyDescent="0.25">
      <c r="A218" s="1">
        <v>44778</v>
      </c>
      <c r="B218">
        <v>4145.1899999999996</v>
      </c>
    </row>
    <row r="219" spans="1:2" x14ac:dyDescent="0.25">
      <c r="A219" s="1">
        <v>44781</v>
      </c>
      <c r="B219">
        <v>4140.0600000000004</v>
      </c>
    </row>
    <row r="220" spans="1:2" x14ac:dyDescent="0.25">
      <c r="A220" s="1">
        <v>44782</v>
      </c>
      <c r="B220">
        <v>4122.47</v>
      </c>
    </row>
    <row r="221" spans="1:2" x14ac:dyDescent="0.25">
      <c r="A221" s="1">
        <v>44783</v>
      </c>
      <c r="B221">
        <v>4210.24</v>
      </c>
    </row>
    <row r="222" spans="1:2" x14ac:dyDescent="0.25">
      <c r="A222" s="1">
        <v>44784</v>
      </c>
      <c r="B222">
        <v>4207.2700000000004</v>
      </c>
    </row>
    <row r="223" spans="1:2" x14ac:dyDescent="0.25">
      <c r="A223" s="1">
        <v>44785</v>
      </c>
      <c r="B223">
        <v>4280.1499999999996</v>
      </c>
    </row>
    <row r="224" spans="1:2" x14ac:dyDescent="0.25">
      <c r="A224" s="1">
        <v>44788</v>
      </c>
      <c r="B224">
        <v>4297.1400000000003</v>
      </c>
    </row>
    <row r="225" spans="1:2" x14ac:dyDescent="0.25">
      <c r="A225" s="1">
        <v>44789</v>
      </c>
      <c r="B225">
        <v>4305.2</v>
      </c>
    </row>
    <row r="226" spans="1:2" x14ac:dyDescent="0.25">
      <c r="A226" s="1">
        <v>44790</v>
      </c>
      <c r="B226">
        <v>4274.04</v>
      </c>
    </row>
    <row r="227" spans="1:2" x14ac:dyDescent="0.25">
      <c r="A227" s="1">
        <v>44791</v>
      </c>
      <c r="B227">
        <v>4283.74</v>
      </c>
    </row>
    <row r="228" spans="1:2" x14ac:dyDescent="0.25">
      <c r="A228" s="1">
        <v>44792</v>
      </c>
      <c r="B228">
        <v>4228.4799999999996</v>
      </c>
    </row>
    <row r="229" spans="1:2" x14ac:dyDescent="0.25">
      <c r="A229" s="1">
        <v>44795</v>
      </c>
      <c r="B229">
        <v>4137.99</v>
      </c>
    </row>
    <row r="230" spans="1:2" x14ac:dyDescent="0.25">
      <c r="A230" s="1">
        <v>44796</v>
      </c>
      <c r="B230">
        <v>4128.7299999999996</v>
      </c>
    </row>
    <row r="231" spans="1:2" x14ac:dyDescent="0.25">
      <c r="A231" s="1">
        <v>44797</v>
      </c>
      <c r="B231">
        <v>4140.7700000000004</v>
      </c>
    </row>
    <row r="232" spans="1:2" x14ac:dyDescent="0.25">
      <c r="A232" s="1">
        <v>44798</v>
      </c>
      <c r="B232">
        <v>4199.12</v>
      </c>
    </row>
    <row r="233" spans="1:2" x14ac:dyDescent="0.25">
      <c r="A233" s="1">
        <v>44799</v>
      </c>
      <c r="B233">
        <v>4057.66</v>
      </c>
    </row>
    <row r="234" spans="1:2" x14ac:dyDescent="0.25">
      <c r="A234" s="1">
        <v>44802</v>
      </c>
      <c r="B234">
        <v>4030.61</v>
      </c>
    </row>
    <row r="235" spans="1:2" x14ac:dyDescent="0.25">
      <c r="A235" s="1">
        <v>44803</v>
      </c>
      <c r="B235">
        <v>3986.16</v>
      </c>
    </row>
    <row r="236" spans="1:2" x14ac:dyDescent="0.25">
      <c r="A236" s="1">
        <v>44804</v>
      </c>
      <c r="B236">
        <v>3955</v>
      </c>
    </row>
    <row r="237" spans="1:2" x14ac:dyDescent="0.25">
      <c r="A237" s="1">
        <v>44805</v>
      </c>
      <c r="B237">
        <v>3966.85</v>
      </c>
    </row>
    <row r="238" spans="1:2" x14ac:dyDescent="0.25">
      <c r="A238" s="1">
        <v>44806</v>
      </c>
      <c r="B238">
        <v>3924.26</v>
      </c>
    </row>
    <row r="239" spans="1:2" x14ac:dyDescent="0.25">
      <c r="A239" s="1">
        <v>44809</v>
      </c>
    </row>
    <row r="240" spans="1:2" x14ac:dyDescent="0.25">
      <c r="A240" s="1">
        <v>44810</v>
      </c>
      <c r="B240">
        <v>3908.19</v>
      </c>
    </row>
    <row r="241" spans="1:2" x14ac:dyDescent="0.25">
      <c r="A241" s="1">
        <v>44811</v>
      </c>
      <c r="B241">
        <v>3979.87</v>
      </c>
    </row>
    <row r="242" spans="1:2" x14ac:dyDescent="0.25">
      <c r="A242" s="1">
        <v>44812</v>
      </c>
      <c r="B242">
        <v>4006.18</v>
      </c>
    </row>
    <row r="243" spans="1:2" x14ac:dyDescent="0.25">
      <c r="A243" s="1">
        <v>44813</v>
      </c>
      <c r="B243">
        <v>4067.36</v>
      </c>
    </row>
    <row r="244" spans="1:2" x14ac:dyDescent="0.25">
      <c r="A244" s="1">
        <v>44816</v>
      </c>
      <c r="B244">
        <v>4110.41</v>
      </c>
    </row>
    <row r="245" spans="1:2" x14ac:dyDescent="0.25">
      <c r="A245" s="1">
        <v>44817</v>
      </c>
      <c r="B245">
        <v>3932.69</v>
      </c>
    </row>
    <row r="246" spans="1:2" x14ac:dyDescent="0.25">
      <c r="A246" s="1">
        <v>44818</v>
      </c>
      <c r="B246">
        <v>3946.01</v>
      </c>
    </row>
    <row r="247" spans="1:2" x14ac:dyDescent="0.25">
      <c r="A247" s="1">
        <v>44819</v>
      </c>
      <c r="B247">
        <v>3901.35</v>
      </c>
    </row>
    <row r="248" spans="1:2" x14ac:dyDescent="0.25">
      <c r="A248" s="1">
        <v>44820</v>
      </c>
      <c r="B248">
        <v>3873.33</v>
      </c>
    </row>
    <row r="249" spans="1:2" x14ac:dyDescent="0.25">
      <c r="A249" s="1">
        <v>44823</v>
      </c>
      <c r="B249">
        <v>3899.89</v>
      </c>
    </row>
    <row r="250" spans="1:2" x14ac:dyDescent="0.25">
      <c r="A250" s="1">
        <v>44824</v>
      </c>
      <c r="B250">
        <v>3855.93</v>
      </c>
    </row>
    <row r="251" spans="1:2" x14ac:dyDescent="0.25">
      <c r="A251" s="1">
        <v>44825</v>
      </c>
      <c r="B251">
        <v>3789.93</v>
      </c>
    </row>
    <row r="252" spans="1:2" x14ac:dyDescent="0.25">
      <c r="A252" s="1">
        <v>44826</v>
      </c>
      <c r="B252">
        <v>3757.99</v>
      </c>
    </row>
    <row r="253" spans="1:2" x14ac:dyDescent="0.25">
      <c r="A253" s="1">
        <v>44827</v>
      </c>
      <c r="B253">
        <v>3693.23</v>
      </c>
    </row>
    <row r="254" spans="1:2" x14ac:dyDescent="0.25">
      <c r="A254" s="1">
        <v>44830</v>
      </c>
      <c r="B254">
        <v>3655.04</v>
      </c>
    </row>
    <row r="255" spans="1:2" x14ac:dyDescent="0.25">
      <c r="A255" s="1">
        <v>44831</v>
      </c>
      <c r="B255">
        <v>3647.29</v>
      </c>
    </row>
    <row r="256" spans="1:2" x14ac:dyDescent="0.25">
      <c r="A256" s="1">
        <v>44832</v>
      </c>
      <c r="B256">
        <v>3719.04</v>
      </c>
    </row>
    <row r="257" spans="1:2" x14ac:dyDescent="0.25">
      <c r="A257" s="1">
        <v>44833</v>
      </c>
      <c r="B257">
        <v>3640.47</v>
      </c>
    </row>
    <row r="258" spans="1:2" x14ac:dyDescent="0.25">
      <c r="A258" s="1">
        <v>44834</v>
      </c>
      <c r="B258">
        <v>3585.62</v>
      </c>
    </row>
    <row r="259" spans="1:2" x14ac:dyDescent="0.25">
      <c r="A259" s="1">
        <v>44837</v>
      </c>
      <c r="B259">
        <v>3678.43</v>
      </c>
    </row>
    <row r="260" spans="1:2" x14ac:dyDescent="0.25">
      <c r="A260" s="1">
        <v>44838</v>
      </c>
      <c r="B260">
        <v>3790.93</v>
      </c>
    </row>
    <row r="261" spans="1:2" x14ac:dyDescent="0.25">
      <c r="A261" s="1">
        <v>44839</v>
      </c>
      <c r="B261">
        <v>3783.28</v>
      </c>
    </row>
    <row r="262" spans="1:2" x14ac:dyDescent="0.25">
      <c r="A262" s="1">
        <v>44840</v>
      </c>
      <c r="B262">
        <v>3744.52</v>
      </c>
    </row>
    <row r="263" spans="1:2" x14ac:dyDescent="0.25">
      <c r="A263" s="1">
        <v>44841</v>
      </c>
      <c r="B263">
        <v>3639.66</v>
      </c>
    </row>
    <row r="264" spans="1:2" x14ac:dyDescent="0.25">
      <c r="A264" s="1">
        <v>44844</v>
      </c>
      <c r="B264">
        <v>3612.39</v>
      </c>
    </row>
    <row r="265" spans="1:2" x14ac:dyDescent="0.25">
      <c r="A265" s="1">
        <v>44845</v>
      </c>
      <c r="B265">
        <v>3588.84</v>
      </c>
    </row>
    <row r="266" spans="1:2" x14ac:dyDescent="0.25">
      <c r="A266" s="1">
        <v>44846</v>
      </c>
      <c r="B266">
        <v>3577.03</v>
      </c>
    </row>
    <row r="267" spans="1:2" x14ac:dyDescent="0.25">
      <c r="A267" s="1">
        <v>44847</v>
      </c>
      <c r="B267">
        <v>3669.91</v>
      </c>
    </row>
    <row r="268" spans="1:2" x14ac:dyDescent="0.25">
      <c r="A268" s="1">
        <v>44848</v>
      </c>
      <c r="B268">
        <v>3583.07</v>
      </c>
    </row>
    <row r="269" spans="1:2" x14ac:dyDescent="0.25">
      <c r="A269" s="1">
        <v>44851</v>
      </c>
      <c r="B269">
        <v>3677.95</v>
      </c>
    </row>
    <row r="270" spans="1:2" x14ac:dyDescent="0.25">
      <c r="A270" s="1">
        <v>44852</v>
      </c>
      <c r="B270">
        <v>3719.98</v>
      </c>
    </row>
    <row r="271" spans="1:2" x14ac:dyDescent="0.25">
      <c r="A271" s="1">
        <v>44853</v>
      </c>
      <c r="B271">
        <v>3695.16</v>
      </c>
    </row>
    <row r="272" spans="1:2" x14ac:dyDescent="0.25">
      <c r="A272" s="1">
        <v>44854</v>
      </c>
      <c r="B272">
        <v>3665.78</v>
      </c>
    </row>
    <row r="273" spans="1:2" x14ac:dyDescent="0.25">
      <c r="A273" s="1">
        <v>44855</v>
      </c>
      <c r="B273">
        <v>3752.75</v>
      </c>
    </row>
    <row r="274" spans="1:2" x14ac:dyDescent="0.25">
      <c r="A274" s="1">
        <v>44858</v>
      </c>
      <c r="B274">
        <v>3797.34</v>
      </c>
    </row>
    <row r="275" spans="1:2" x14ac:dyDescent="0.25">
      <c r="A275" s="1">
        <v>44859</v>
      </c>
      <c r="B275">
        <v>3859.11</v>
      </c>
    </row>
    <row r="276" spans="1:2" x14ac:dyDescent="0.25">
      <c r="A276" s="1">
        <v>44860</v>
      </c>
      <c r="B276">
        <v>3830.6</v>
      </c>
    </row>
    <row r="277" spans="1:2" x14ac:dyDescent="0.25">
      <c r="A277" s="1">
        <v>44861</v>
      </c>
      <c r="B277">
        <v>3807.3</v>
      </c>
    </row>
    <row r="278" spans="1:2" x14ac:dyDescent="0.25">
      <c r="A278" s="1">
        <v>44862</v>
      </c>
      <c r="B278">
        <v>3901.06</v>
      </c>
    </row>
    <row r="279" spans="1:2" x14ac:dyDescent="0.25">
      <c r="A279" s="1">
        <v>44865</v>
      </c>
      <c r="B279">
        <v>3871.98</v>
      </c>
    </row>
    <row r="280" spans="1:2" x14ac:dyDescent="0.25">
      <c r="A280" s="1">
        <v>44866</v>
      </c>
      <c r="B280">
        <v>3856.1</v>
      </c>
    </row>
    <row r="281" spans="1:2" x14ac:dyDescent="0.25">
      <c r="A281" s="1">
        <v>44867</v>
      </c>
      <c r="B281">
        <v>3759.69</v>
      </c>
    </row>
    <row r="282" spans="1:2" x14ac:dyDescent="0.25">
      <c r="A282" s="1">
        <v>44868</v>
      </c>
      <c r="B282">
        <v>3719.89</v>
      </c>
    </row>
    <row r="283" spans="1:2" x14ac:dyDescent="0.25">
      <c r="A283" s="1">
        <v>44869</v>
      </c>
      <c r="B283">
        <v>3770.55</v>
      </c>
    </row>
    <row r="284" spans="1:2" x14ac:dyDescent="0.25">
      <c r="A284" s="1">
        <v>44872</v>
      </c>
      <c r="B284">
        <v>3806.8</v>
      </c>
    </row>
    <row r="285" spans="1:2" x14ac:dyDescent="0.25">
      <c r="A285" s="1">
        <v>44873</v>
      </c>
      <c r="B285">
        <v>3828.11</v>
      </c>
    </row>
    <row r="286" spans="1:2" x14ac:dyDescent="0.25">
      <c r="A286" s="1">
        <v>44874</v>
      </c>
      <c r="B286">
        <v>3748.57</v>
      </c>
    </row>
    <row r="287" spans="1:2" x14ac:dyDescent="0.25">
      <c r="A287" s="1">
        <v>44875</v>
      </c>
      <c r="B287">
        <v>3956.37</v>
      </c>
    </row>
    <row r="288" spans="1:2" x14ac:dyDescent="0.25">
      <c r="A288" s="1">
        <v>44876</v>
      </c>
      <c r="B288">
        <v>3992.93</v>
      </c>
    </row>
    <row r="289" spans="1:2" x14ac:dyDescent="0.25">
      <c r="A289" s="1">
        <v>44879</v>
      </c>
      <c r="B289">
        <v>3957.25</v>
      </c>
    </row>
    <row r="290" spans="1:2" x14ac:dyDescent="0.25">
      <c r="A290" s="1">
        <v>44880</v>
      </c>
      <c r="B290">
        <v>3991.73</v>
      </c>
    </row>
    <row r="291" spans="1:2" x14ac:dyDescent="0.25">
      <c r="A291" s="1">
        <v>44881</v>
      </c>
      <c r="B291">
        <v>3958.79</v>
      </c>
    </row>
    <row r="292" spans="1:2" x14ac:dyDescent="0.25">
      <c r="A292" s="1">
        <v>44882</v>
      </c>
      <c r="B292">
        <v>3946.56</v>
      </c>
    </row>
    <row r="293" spans="1:2" x14ac:dyDescent="0.25">
      <c r="A293" s="1">
        <v>44883</v>
      </c>
      <c r="B293">
        <v>3965.34</v>
      </c>
    </row>
    <row r="294" spans="1:2" x14ac:dyDescent="0.25">
      <c r="A294" s="1">
        <v>44886</v>
      </c>
      <c r="B294">
        <v>3949.94</v>
      </c>
    </row>
    <row r="295" spans="1:2" x14ac:dyDescent="0.25">
      <c r="A295" s="1">
        <v>44887</v>
      </c>
      <c r="B295">
        <v>4003.58</v>
      </c>
    </row>
    <row r="296" spans="1:2" x14ac:dyDescent="0.25">
      <c r="A296" s="1">
        <v>44888</v>
      </c>
      <c r="B296">
        <v>4027.26</v>
      </c>
    </row>
    <row r="297" spans="1:2" x14ac:dyDescent="0.25">
      <c r="A297" s="1">
        <v>44889</v>
      </c>
    </row>
    <row r="298" spans="1:2" x14ac:dyDescent="0.25">
      <c r="A298" s="1">
        <v>44890</v>
      </c>
      <c r="B298">
        <v>4026.12</v>
      </c>
    </row>
    <row r="299" spans="1:2" x14ac:dyDescent="0.25">
      <c r="A299" s="1">
        <v>44893</v>
      </c>
      <c r="B299">
        <v>3963.94</v>
      </c>
    </row>
    <row r="300" spans="1:2" x14ac:dyDescent="0.25">
      <c r="A300" s="1">
        <v>44894</v>
      </c>
      <c r="B300">
        <v>3957.63</v>
      </c>
    </row>
    <row r="301" spans="1:2" x14ac:dyDescent="0.25">
      <c r="A301" s="1">
        <v>44895</v>
      </c>
      <c r="B301">
        <v>4080.11</v>
      </c>
    </row>
    <row r="302" spans="1:2" x14ac:dyDescent="0.25">
      <c r="A302" s="1">
        <v>44896</v>
      </c>
      <c r="B302">
        <v>4076.57</v>
      </c>
    </row>
    <row r="303" spans="1:2" x14ac:dyDescent="0.25">
      <c r="A303" s="1">
        <v>44897</v>
      </c>
      <c r="B303">
        <v>4071.7</v>
      </c>
    </row>
    <row r="304" spans="1:2" x14ac:dyDescent="0.25">
      <c r="A304" s="1">
        <v>44900</v>
      </c>
      <c r="B304">
        <v>3998.84</v>
      </c>
    </row>
    <row r="305" spans="1:2" x14ac:dyDescent="0.25">
      <c r="A305" s="1">
        <v>44901</v>
      </c>
      <c r="B305">
        <v>3941.26</v>
      </c>
    </row>
    <row r="306" spans="1:2" x14ac:dyDescent="0.25">
      <c r="A306" s="1">
        <v>44902</v>
      </c>
      <c r="B306">
        <v>3933.92</v>
      </c>
    </row>
    <row r="307" spans="1:2" x14ac:dyDescent="0.25">
      <c r="A307" s="1">
        <v>44903</v>
      </c>
      <c r="B307">
        <v>3963.51</v>
      </c>
    </row>
    <row r="308" spans="1:2" x14ac:dyDescent="0.25">
      <c r="A308" s="1">
        <v>44904</v>
      </c>
      <c r="B308">
        <v>3934.38</v>
      </c>
    </row>
    <row r="309" spans="1:2" x14ac:dyDescent="0.25">
      <c r="A309" s="1">
        <v>44907</v>
      </c>
      <c r="B309">
        <v>3990.56</v>
      </c>
    </row>
    <row r="310" spans="1:2" x14ac:dyDescent="0.25">
      <c r="A310" s="1">
        <v>44908</v>
      </c>
      <c r="B310">
        <v>4019.65</v>
      </c>
    </row>
    <row r="311" spans="1:2" x14ac:dyDescent="0.25">
      <c r="A311" s="1">
        <v>44909</v>
      </c>
      <c r="B311">
        <v>3995.32</v>
      </c>
    </row>
    <row r="312" spans="1:2" x14ac:dyDescent="0.25">
      <c r="A312" s="1">
        <v>44910</v>
      </c>
      <c r="B312">
        <v>3895.75</v>
      </c>
    </row>
    <row r="313" spans="1:2" x14ac:dyDescent="0.25">
      <c r="A313" s="1">
        <v>44911</v>
      </c>
      <c r="B313">
        <v>3852.36</v>
      </c>
    </row>
    <row r="314" spans="1:2" x14ac:dyDescent="0.25">
      <c r="A314" s="1">
        <v>44914</v>
      </c>
      <c r="B314">
        <v>3817.66</v>
      </c>
    </row>
    <row r="315" spans="1:2" x14ac:dyDescent="0.25">
      <c r="A315" s="1">
        <v>44915</v>
      </c>
      <c r="B315">
        <v>3821.62</v>
      </c>
    </row>
    <row r="316" spans="1:2" x14ac:dyDescent="0.25">
      <c r="A316" s="1">
        <v>44916</v>
      </c>
      <c r="B316">
        <v>3878.44</v>
      </c>
    </row>
    <row r="317" spans="1:2" x14ac:dyDescent="0.25">
      <c r="A317" s="1">
        <v>44917</v>
      </c>
      <c r="B317">
        <v>3822.39</v>
      </c>
    </row>
    <row r="318" spans="1:2" x14ac:dyDescent="0.25">
      <c r="A318" s="1">
        <v>44918</v>
      </c>
      <c r="B318">
        <v>3844.82</v>
      </c>
    </row>
    <row r="319" spans="1:2" x14ac:dyDescent="0.25">
      <c r="A319" s="1">
        <v>44921</v>
      </c>
    </row>
    <row r="320" spans="1:2" x14ac:dyDescent="0.25">
      <c r="A320" s="1">
        <v>44922</v>
      </c>
      <c r="B320">
        <v>3829.25</v>
      </c>
    </row>
    <row r="321" spans="1:2" x14ac:dyDescent="0.25">
      <c r="A321" s="1">
        <v>44923</v>
      </c>
      <c r="B321">
        <v>3783.22</v>
      </c>
    </row>
    <row r="322" spans="1:2" x14ac:dyDescent="0.25">
      <c r="A322" s="1">
        <v>44924</v>
      </c>
      <c r="B322">
        <v>3849.28</v>
      </c>
    </row>
    <row r="323" spans="1:2" x14ac:dyDescent="0.25">
      <c r="A323" s="1">
        <v>44925</v>
      </c>
      <c r="B323">
        <v>3839.5</v>
      </c>
    </row>
    <row r="324" spans="1:2" x14ac:dyDescent="0.25">
      <c r="A324" s="1">
        <v>44928</v>
      </c>
    </row>
    <row r="325" spans="1:2" x14ac:dyDescent="0.25">
      <c r="A325" s="1">
        <v>44929</v>
      </c>
      <c r="B325">
        <v>3824.14</v>
      </c>
    </row>
    <row r="326" spans="1:2" x14ac:dyDescent="0.25">
      <c r="A326" s="1">
        <v>44930</v>
      </c>
      <c r="B326">
        <v>3852.97</v>
      </c>
    </row>
    <row r="327" spans="1:2" x14ac:dyDescent="0.25">
      <c r="A327" s="1">
        <v>44931</v>
      </c>
      <c r="B327">
        <v>3808.1</v>
      </c>
    </row>
    <row r="328" spans="1:2" x14ac:dyDescent="0.25">
      <c r="A328" s="1">
        <v>44932</v>
      </c>
      <c r="B328">
        <v>3895.08</v>
      </c>
    </row>
    <row r="329" spans="1:2" x14ac:dyDescent="0.25">
      <c r="A329" s="1">
        <v>44935</v>
      </c>
      <c r="B329">
        <v>3892.09</v>
      </c>
    </row>
    <row r="330" spans="1:2" x14ac:dyDescent="0.25">
      <c r="A330" s="1">
        <v>44936</v>
      </c>
      <c r="B330">
        <v>3919.25</v>
      </c>
    </row>
    <row r="331" spans="1:2" x14ac:dyDescent="0.25">
      <c r="A331" s="1">
        <v>44937</v>
      </c>
      <c r="B331">
        <v>3969.61</v>
      </c>
    </row>
    <row r="332" spans="1:2" x14ac:dyDescent="0.25">
      <c r="A332" s="1">
        <v>44938</v>
      </c>
      <c r="B332">
        <v>3983.17</v>
      </c>
    </row>
    <row r="333" spans="1:2" x14ac:dyDescent="0.25">
      <c r="A333" s="1">
        <v>44939</v>
      </c>
      <c r="B333">
        <v>3999.09</v>
      </c>
    </row>
    <row r="334" spans="1:2" x14ac:dyDescent="0.25">
      <c r="A334" s="1">
        <v>44942</v>
      </c>
    </row>
    <row r="335" spans="1:2" x14ac:dyDescent="0.25">
      <c r="A335" s="1">
        <v>44943</v>
      </c>
      <c r="B335">
        <v>3990.97</v>
      </c>
    </row>
    <row r="336" spans="1:2" x14ac:dyDescent="0.25">
      <c r="A336" s="1">
        <v>44944</v>
      </c>
      <c r="B336">
        <v>3928.86</v>
      </c>
    </row>
    <row r="337" spans="1:2" x14ac:dyDescent="0.25">
      <c r="A337" s="1">
        <v>44945</v>
      </c>
      <c r="B337">
        <v>3898.85</v>
      </c>
    </row>
    <row r="338" spans="1:2" x14ac:dyDescent="0.25">
      <c r="A338" s="1">
        <v>44946</v>
      </c>
      <c r="B338">
        <v>3972.61</v>
      </c>
    </row>
    <row r="339" spans="1:2" x14ac:dyDescent="0.25">
      <c r="A339" s="1">
        <v>44949</v>
      </c>
      <c r="B339">
        <v>4019.81</v>
      </c>
    </row>
    <row r="340" spans="1:2" x14ac:dyDescent="0.25">
      <c r="A340" s="1">
        <v>44950</v>
      </c>
      <c r="B340">
        <v>4016.95</v>
      </c>
    </row>
    <row r="341" spans="1:2" x14ac:dyDescent="0.25">
      <c r="A341" s="1">
        <v>44951</v>
      </c>
      <c r="B341">
        <v>4016.22</v>
      </c>
    </row>
    <row r="342" spans="1:2" x14ac:dyDescent="0.25">
      <c r="A342" s="1">
        <v>44952</v>
      </c>
      <c r="B342">
        <v>4060.43</v>
      </c>
    </row>
    <row r="343" spans="1:2" x14ac:dyDescent="0.25">
      <c r="A343" s="1">
        <v>44953</v>
      </c>
      <c r="B343">
        <v>4070.56</v>
      </c>
    </row>
    <row r="344" spans="1:2" x14ac:dyDescent="0.25">
      <c r="A344" s="1">
        <v>44956</v>
      </c>
      <c r="B344">
        <v>4017.77</v>
      </c>
    </row>
    <row r="345" spans="1:2" x14ac:dyDescent="0.25">
      <c r="A345" s="1">
        <v>44957</v>
      </c>
      <c r="B345">
        <v>4076.6</v>
      </c>
    </row>
    <row r="346" spans="1:2" x14ac:dyDescent="0.25">
      <c r="A346" s="1">
        <v>44958</v>
      </c>
      <c r="B346">
        <v>4119.21</v>
      </c>
    </row>
    <row r="347" spans="1:2" x14ac:dyDescent="0.25">
      <c r="A347" s="1">
        <v>44959</v>
      </c>
      <c r="B347">
        <v>4179.76</v>
      </c>
    </row>
    <row r="348" spans="1:2" x14ac:dyDescent="0.25">
      <c r="A348" s="1">
        <v>44960</v>
      </c>
      <c r="B348">
        <v>4136.4799999999996</v>
      </c>
    </row>
    <row r="349" spans="1:2" x14ac:dyDescent="0.25">
      <c r="A349" s="1">
        <v>44963</v>
      </c>
      <c r="B349">
        <v>4111.08</v>
      </c>
    </row>
    <row r="350" spans="1:2" x14ac:dyDescent="0.25">
      <c r="A350" s="1">
        <v>44964</v>
      </c>
      <c r="B350">
        <v>4164</v>
      </c>
    </row>
    <row r="351" spans="1:2" x14ac:dyDescent="0.25">
      <c r="A351" s="1">
        <v>44965</v>
      </c>
      <c r="B351">
        <v>4117.8599999999997</v>
      </c>
    </row>
    <row r="352" spans="1:2" x14ac:dyDescent="0.25">
      <c r="A352" s="1">
        <v>44966</v>
      </c>
      <c r="B352">
        <v>4081.5</v>
      </c>
    </row>
    <row r="353" spans="1:2" x14ac:dyDescent="0.25">
      <c r="A353" s="1">
        <v>44967</v>
      </c>
      <c r="B353">
        <v>4090.46</v>
      </c>
    </row>
    <row r="354" spans="1:2" x14ac:dyDescent="0.25">
      <c r="A354" s="1">
        <v>44970</v>
      </c>
      <c r="B354">
        <v>4137.29</v>
      </c>
    </row>
    <row r="355" spans="1:2" x14ac:dyDescent="0.25">
      <c r="A355" s="1">
        <v>44971</v>
      </c>
      <c r="B355">
        <v>4136.13</v>
      </c>
    </row>
    <row r="356" spans="1:2" x14ac:dyDescent="0.25">
      <c r="A356" s="1">
        <v>44972</v>
      </c>
      <c r="B356">
        <v>4147.6000000000004</v>
      </c>
    </row>
    <row r="357" spans="1:2" x14ac:dyDescent="0.25">
      <c r="A357" s="1">
        <v>44973</v>
      </c>
      <c r="B357">
        <v>4090.41</v>
      </c>
    </row>
    <row r="358" spans="1:2" x14ac:dyDescent="0.25">
      <c r="A358" s="1">
        <v>44974</v>
      </c>
      <c r="B358">
        <v>4079.09</v>
      </c>
    </row>
    <row r="359" spans="1:2" x14ac:dyDescent="0.25">
      <c r="A359" s="1">
        <v>44977</v>
      </c>
    </row>
    <row r="360" spans="1:2" x14ac:dyDescent="0.25">
      <c r="A360" s="1">
        <v>44978</v>
      </c>
      <c r="B360">
        <v>3997.34</v>
      </c>
    </row>
    <row r="361" spans="1:2" x14ac:dyDescent="0.25">
      <c r="A361" s="1">
        <v>44979</v>
      </c>
      <c r="B361">
        <v>3991.05</v>
      </c>
    </row>
    <row r="362" spans="1:2" x14ac:dyDescent="0.25">
      <c r="A362" s="1">
        <v>44980</v>
      </c>
      <c r="B362">
        <v>4012.32</v>
      </c>
    </row>
    <row r="363" spans="1:2" x14ac:dyDescent="0.25">
      <c r="A363" s="1">
        <v>44981</v>
      </c>
      <c r="B363">
        <v>3970.04</v>
      </c>
    </row>
    <row r="364" spans="1:2" x14ac:dyDescent="0.25">
      <c r="A364" s="1">
        <v>44984</v>
      </c>
      <c r="B364">
        <v>3982.24</v>
      </c>
    </row>
    <row r="365" spans="1:2" x14ac:dyDescent="0.25">
      <c r="A365" s="1">
        <v>44985</v>
      </c>
      <c r="B365">
        <v>3970.15</v>
      </c>
    </row>
    <row r="366" spans="1:2" x14ac:dyDescent="0.25">
      <c r="A366" s="1">
        <v>44986</v>
      </c>
      <c r="B366">
        <v>3951.39</v>
      </c>
    </row>
    <row r="367" spans="1:2" x14ac:dyDescent="0.25">
      <c r="A367" s="1">
        <v>44987</v>
      </c>
      <c r="B367">
        <v>3981.35</v>
      </c>
    </row>
    <row r="368" spans="1:2" x14ac:dyDescent="0.25">
      <c r="A368" s="1">
        <v>44988</v>
      </c>
      <c r="B368">
        <v>4045.64</v>
      </c>
    </row>
    <row r="369" spans="1:2" x14ac:dyDescent="0.25">
      <c r="A369" s="1">
        <v>44991</v>
      </c>
      <c r="B369">
        <v>4048.42</v>
      </c>
    </row>
    <row r="370" spans="1:2" x14ac:dyDescent="0.25">
      <c r="A370" s="1">
        <v>44992</v>
      </c>
      <c r="B370">
        <v>3986.37</v>
      </c>
    </row>
    <row r="371" spans="1:2" x14ac:dyDescent="0.25">
      <c r="A371" s="1">
        <v>44993</v>
      </c>
      <c r="B371">
        <v>3992.01</v>
      </c>
    </row>
    <row r="372" spans="1:2" x14ac:dyDescent="0.25">
      <c r="A372" s="1">
        <v>44994</v>
      </c>
      <c r="B372">
        <v>3918.32</v>
      </c>
    </row>
    <row r="373" spans="1:2" x14ac:dyDescent="0.25">
      <c r="A373" s="1">
        <v>44995</v>
      </c>
      <c r="B373">
        <v>3861.59</v>
      </c>
    </row>
    <row r="374" spans="1:2" x14ac:dyDescent="0.25">
      <c r="A374" s="1">
        <v>44998</v>
      </c>
      <c r="B374">
        <v>3855.76</v>
      </c>
    </row>
    <row r="375" spans="1:2" x14ac:dyDescent="0.25">
      <c r="A375" s="1">
        <v>44999</v>
      </c>
      <c r="B375">
        <v>3919.29</v>
      </c>
    </row>
    <row r="376" spans="1:2" x14ac:dyDescent="0.25">
      <c r="A376" s="1">
        <v>45000</v>
      </c>
      <c r="B376">
        <v>3891.93</v>
      </c>
    </row>
    <row r="377" spans="1:2" x14ac:dyDescent="0.25">
      <c r="A377" s="1">
        <v>45001</v>
      </c>
      <c r="B377">
        <v>3960.28</v>
      </c>
    </row>
    <row r="378" spans="1:2" x14ac:dyDescent="0.25">
      <c r="A378" s="1">
        <v>45002</v>
      </c>
      <c r="B378">
        <v>3916.64</v>
      </c>
    </row>
    <row r="379" spans="1:2" x14ac:dyDescent="0.25">
      <c r="A379" s="1">
        <v>45005</v>
      </c>
      <c r="B379">
        <v>3951.57</v>
      </c>
    </row>
    <row r="380" spans="1:2" x14ac:dyDescent="0.25">
      <c r="A380" s="1">
        <v>45006</v>
      </c>
      <c r="B380">
        <v>4002.87</v>
      </c>
    </row>
    <row r="381" spans="1:2" x14ac:dyDescent="0.25">
      <c r="A381" s="1">
        <v>45007</v>
      </c>
      <c r="B381">
        <v>3936.97</v>
      </c>
    </row>
    <row r="382" spans="1:2" x14ac:dyDescent="0.25">
      <c r="A382" s="1">
        <v>45008</v>
      </c>
      <c r="B382">
        <v>3948.72</v>
      </c>
    </row>
    <row r="383" spans="1:2" x14ac:dyDescent="0.25">
      <c r="A383" s="1">
        <v>45009</v>
      </c>
      <c r="B383">
        <v>3970.99</v>
      </c>
    </row>
    <row r="384" spans="1:2" x14ac:dyDescent="0.25">
      <c r="A384" s="1">
        <v>45012</v>
      </c>
      <c r="B384">
        <v>3977.53</v>
      </c>
    </row>
    <row r="385" spans="1:2" x14ac:dyDescent="0.25">
      <c r="A385" s="1">
        <v>45013</v>
      </c>
      <c r="B385">
        <v>3971.27</v>
      </c>
    </row>
    <row r="386" spans="1:2" x14ac:dyDescent="0.25">
      <c r="A386" s="1">
        <v>45014</v>
      </c>
      <c r="B386">
        <v>4027.81</v>
      </c>
    </row>
    <row r="387" spans="1:2" x14ac:dyDescent="0.25">
      <c r="A387" s="1">
        <v>45015</v>
      </c>
      <c r="B387">
        <v>4050.83</v>
      </c>
    </row>
    <row r="388" spans="1:2" x14ac:dyDescent="0.25">
      <c r="A388" s="1">
        <v>45016</v>
      </c>
      <c r="B388">
        <v>4109.3100000000004</v>
      </c>
    </row>
    <row r="389" spans="1:2" x14ac:dyDescent="0.25">
      <c r="A389" s="1">
        <v>45019</v>
      </c>
      <c r="B389">
        <v>4124.51</v>
      </c>
    </row>
    <row r="390" spans="1:2" x14ac:dyDescent="0.25">
      <c r="A390" s="1">
        <v>45020</v>
      </c>
      <c r="B390">
        <v>4100.6000000000004</v>
      </c>
    </row>
    <row r="391" spans="1:2" x14ac:dyDescent="0.25">
      <c r="A391" s="1">
        <v>45021</v>
      </c>
      <c r="B391">
        <v>4090.38</v>
      </c>
    </row>
    <row r="392" spans="1:2" x14ac:dyDescent="0.25">
      <c r="A392" s="1">
        <v>45022</v>
      </c>
      <c r="B392">
        <v>4105.0200000000004</v>
      </c>
    </row>
    <row r="393" spans="1:2" x14ac:dyDescent="0.25">
      <c r="A393" s="1">
        <v>45023</v>
      </c>
    </row>
    <row r="394" spans="1:2" x14ac:dyDescent="0.25">
      <c r="A394" s="1">
        <v>45026</v>
      </c>
      <c r="B394">
        <v>4109.1099999999997</v>
      </c>
    </row>
    <row r="395" spans="1:2" x14ac:dyDescent="0.25">
      <c r="A395" s="1">
        <v>45027</v>
      </c>
      <c r="B395">
        <v>4108.9399999999996</v>
      </c>
    </row>
    <row r="396" spans="1:2" x14ac:dyDescent="0.25">
      <c r="A396" s="1">
        <v>45028</v>
      </c>
      <c r="B396">
        <v>4091.95</v>
      </c>
    </row>
    <row r="397" spans="1:2" x14ac:dyDescent="0.25">
      <c r="A397" s="1">
        <v>45029</v>
      </c>
      <c r="B397">
        <v>4146.22</v>
      </c>
    </row>
    <row r="398" spans="1:2" x14ac:dyDescent="0.25">
      <c r="A398" s="1">
        <v>45030</v>
      </c>
      <c r="B398">
        <v>4137.6400000000003</v>
      </c>
    </row>
    <row r="399" spans="1:2" x14ac:dyDescent="0.25">
      <c r="A399" s="1">
        <v>45033</v>
      </c>
      <c r="B399">
        <v>4151.32</v>
      </c>
    </row>
    <row r="400" spans="1:2" x14ac:dyDescent="0.25">
      <c r="A400" s="1">
        <v>45034</v>
      </c>
      <c r="B400">
        <v>4154.87</v>
      </c>
    </row>
    <row r="401" spans="1:2" x14ac:dyDescent="0.25">
      <c r="A401" s="1">
        <v>45035</v>
      </c>
      <c r="B401">
        <v>4154.5200000000004</v>
      </c>
    </row>
    <row r="402" spans="1:2" x14ac:dyDescent="0.25">
      <c r="A402" s="1">
        <v>45036</v>
      </c>
      <c r="B402">
        <v>4129.79</v>
      </c>
    </row>
    <row r="403" spans="1:2" x14ac:dyDescent="0.25">
      <c r="A403" s="1">
        <v>45037</v>
      </c>
      <c r="B403">
        <v>4133.5200000000004</v>
      </c>
    </row>
    <row r="404" spans="1:2" x14ac:dyDescent="0.25">
      <c r="A404" s="1">
        <v>45040</v>
      </c>
      <c r="B404">
        <v>4137.04</v>
      </c>
    </row>
    <row r="405" spans="1:2" x14ac:dyDescent="0.25">
      <c r="A405" s="1">
        <v>45041</v>
      </c>
      <c r="B405">
        <v>4071.63</v>
      </c>
    </row>
    <row r="406" spans="1:2" x14ac:dyDescent="0.25">
      <c r="A406" s="1">
        <v>45042</v>
      </c>
      <c r="B406">
        <v>4055.99</v>
      </c>
    </row>
    <row r="407" spans="1:2" x14ac:dyDescent="0.25">
      <c r="A407" s="1">
        <v>45043</v>
      </c>
      <c r="B407">
        <v>4135.3500000000004</v>
      </c>
    </row>
    <row r="408" spans="1:2" x14ac:dyDescent="0.25">
      <c r="A408" s="1">
        <v>45044</v>
      </c>
      <c r="B408">
        <v>4169.4799999999996</v>
      </c>
    </row>
    <row r="409" spans="1:2" x14ac:dyDescent="0.25">
      <c r="A409" s="1">
        <v>45047</v>
      </c>
      <c r="B409">
        <v>4167.87</v>
      </c>
    </row>
    <row r="410" spans="1:2" x14ac:dyDescent="0.25">
      <c r="A410" s="1">
        <v>45048</v>
      </c>
      <c r="B410">
        <v>4119.58</v>
      </c>
    </row>
    <row r="411" spans="1:2" x14ac:dyDescent="0.25">
      <c r="A411" s="1">
        <v>45049</v>
      </c>
      <c r="B411">
        <v>4090.75</v>
      </c>
    </row>
    <row r="412" spans="1:2" x14ac:dyDescent="0.25">
      <c r="A412" s="1">
        <v>45050</v>
      </c>
      <c r="B412">
        <v>4061.22</v>
      </c>
    </row>
    <row r="413" spans="1:2" x14ac:dyDescent="0.25">
      <c r="A413" s="1">
        <v>45051</v>
      </c>
      <c r="B413">
        <v>4136.25</v>
      </c>
    </row>
    <row r="414" spans="1:2" x14ac:dyDescent="0.25">
      <c r="A414" s="1">
        <v>45054</v>
      </c>
      <c r="B414">
        <v>4138.12</v>
      </c>
    </row>
    <row r="415" spans="1:2" x14ac:dyDescent="0.25">
      <c r="A415" s="1">
        <v>45055</v>
      </c>
      <c r="B415">
        <v>4119.17</v>
      </c>
    </row>
    <row r="416" spans="1:2" x14ac:dyDescent="0.25">
      <c r="A416" s="1">
        <v>45056</v>
      </c>
      <c r="B416">
        <v>4137.6400000000003</v>
      </c>
    </row>
    <row r="417" spans="1:2" x14ac:dyDescent="0.25">
      <c r="A417" s="1">
        <v>45057</v>
      </c>
      <c r="B417">
        <v>4130.62</v>
      </c>
    </row>
    <row r="418" spans="1:2" x14ac:dyDescent="0.25">
      <c r="A418" s="1">
        <v>45058</v>
      </c>
      <c r="B418">
        <v>4124.08</v>
      </c>
    </row>
    <row r="419" spans="1:2" x14ac:dyDescent="0.25">
      <c r="A419" s="1">
        <v>45061</v>
      </c>
      <c r="B419">
        <v>4136.28</v>
      </c>
    </row>
    <row r="420" spans="1:2" x14ac:dyDescent="0.25">
      <c r="A420" s="1">
        <v>45062</v>
      </c>
      <c r="B420">
        <v>4109.8999999999996</v>
      </c>
    </row>
    <row r="421" spans="1:2" x14ac:dyDescent="0.25">
      <c r="A421" s="1">
        <v>45063</v>
      </c>
      <c r="B421">
        <v>4158.7700000000004</v>
      </c>
    </row>
    <row r="422" spans="1:2" x14ac:dyDescent="0.25">
      <c r="A422" s="1">
        <v>45064</v>
      </c>
      <c r="B422">
        <v>4198.05</v>
      </c>
    </row>
    <row r="423" spans="1:2" x14ac:dyDescent="0.25">
      <c r="A423" s="1">
        <v>45065</v>
      </c>
      <c r="B423">
        <v>4191.9799999999996</v>
      </c>
    </row>
    <row r="424" spans="1:2" x14ac:dyDescent="0.25">
      <c r="A424" s="1">
        <v>45068</v>
      </c>
      <c r="B424">
        <v>4192.63</v>
      </c>
    </row>
    <row r="425" spans="1:2" x14ac:dyDescent="0.25">
      <c r="A425" s="1">
        <v>45069</v>
      </c>
      <c r="B425">
        <v>4145.58</v>
      </c>
    </row>
    <row r="426" spans="1:2" x14ac:dyDescent="0.25">
      <c r="A426" s="1">
        <v>45070</v>
      </c>
      <c r="B426">
        <v>4115.24</v>
      </c>
    </row>
    <row r="427" spans="1:2" x14ac:dyDescent="0.25">
      <c r="A427" s="1">
        <v>45071</v>
      </c>
      <c r="B427">
        <v>4151.28</v>
      </c>
    </row>
    <row r="428" spans="1:2" x14ac:dyDescent="0.25">
      <c r="A428" s="1">
        <v>45072</v>
      </c>
      <c r="B428">
        <v>4205.45</v>
      </c>
    </row>
    <row r="429" spans="1:2" x14ac:dyDescent="0.25">
      <c r="A429" s="1">
        <v>45075</v>
      </c>
    </row>
    <row r="430" spans="1:2" x14ac:dyDescent="0.25">
      <c r="A430" s="1">
        <v>45076</v>
      </c>
      <c r="B430">
        <v>4205.5200000000004</v>
      </c>
    </row>
    <row r="431" spans="1:2" x14ac:dyDescent="0.25">
      <c r="A431" s="1">
        <v>45077</v>
      </c>
      <c r="B431">
        <v>4179.83</v>
      </c>
    </row>
    <row r="432" spans="1:2" x14ac:dyDescent="0.25">
      <c r="A432" s="1">
        <v>45078</v>
      </c>
      <c r="B432">
        <v>4221.0200000000004</v>
      </c>
    </row>
    <row r="433" spans="1:2" x14ac:dyDescent="0.25">
      <c r="A433" s="1">
        <v>45079</v>
      </c>
      <c r="B433">
        <v>4282.37</v>
      </c>
    </row>
    <row r="434" spans="1:2" x14ac:dyDescent="0.25">
      <c r="A434" s="1">
        <v>45082</v>
      </c>
      <c r="B434">
        <v>4273.79</v>
      </c>
    </row>
    <row r="435" spans="1:2" x14ac:dyDescent="0.25">
      <c r="A435" s="1">
        <v>45083</v>
      </c>
      <c r="B435">
        <v>4283.8500000000004</v>
      </c>
    </row>
    <row r="436" spans="1:2" x14ac:dyDescent="0.25">
      <c r="A436" s="1">
        <v>45084</v>
      </c>
      <c r="B436">
        <v>4267.5200000000004</v>
      </c>
    </row>
    <row r="437" spans="1:2" x14ac:dyDescent="0.25">
      <c r="A437" s="1">
        <v>45085</v>
      </c>
      <c r="B437">
        <v>4293.93</v>
      </c>
    </row>
    <row r="438" spans="1:2" x14ac:dyDescent="0.25">
      <c r="A438" s="1">
        <v>45086</v>
      </c>
      <c r="B438">
        <v>4298.8599999999997</v>
      </c>
    </row>
    <row r="439" spans="1:2" x14ac:dyDescent="0.25">
      <c r="A439" s="1">
        <v>45089</v>
      </c>
      <c r="B439">
        <v>4338.93</v>
      </c>
    </row>
    <row r="440" spans="1:2" x14ac:dyDescent="0.25">
      <c r="A440" s="1">
        <v>45090</v>
      </c>
      <c r="B440">
        <v>4369.01</v>
      </c>
    </row>
    <row r="441" spans="1:2" x14ac:dyDescent="0.25">
      <c r="A441" s="1">
        <v>45091</v>
      </c>
      <c r="B441">
        <v>4372.59</v>
      </c>
    </row>
    <row r="442" spans="1:2" x14ac:dyDescent="0.25">
      <c r="A442" s="1">
        <v>45092</v>
      </c>
      <c r="B442">
        <v>4425.84</v>
      </c>
    </row>
    <row r="443" spans="1:2" x14ac:dyDescent="0.25">
      <c r="A443" s="1">
        <v>45093</v>
      </c>
      <c r="B443">
        <v>4409.59</v>
      </c>
    </row>
    <row r="444" spans="1:2" x14ac:dyDescent="0.25">
      <c r="A444" s="1">
        <v>45096</v>
      </c>
    </row>
    <row r="445" spans="1:2" x14ac:dyDescent="0.25">
      <c r="A445" s="1">
        <v>45097</v>
      </c>
      <c r="B445">
        <v>4388.71</v>
      </c>
    </row>
    <row r="446" spans="1:2" x14ac:dyDescent="0.25">
      <c r="A446" s="1">
        <v>45098</v>
      </c>
      <c r="B446">
        <v>4365.6899999999996</v>
      </c>
    </row>
    <row r="447" spans="1:2" x14ac:dyDescent="0.25">
      <c r="A447" s="1">
        <v>45099</v>
      </c>
      <c r="B447">
        <v>4381.8900000000003</v>
      </c>
    </row>
    <row r="448" spans="1:2" x14ac:dyDescent="0.25">
      <c r="A448" s="1">
        <v>45100</v>
      </c>
      <c r="B448">
        <v>4348.33</v>
      </c>
    </row>
    <row r="449" spans="1:2" x14ac:dyDescent="0.25">
      <c r="A449" s="1">
        <v>45103</v>
      </c>
      <c r="B449">
        <v>4328.82</v>
      </c>
    </row>
    <row r="450" spans="1:2" x14ac:dyDescent="0.25">
      <c r="A450" s="1">
        <v>45104</v>
      </c>
      <c r="B450">
        <v>4378.41</v>
      </c>
    </row>
    <row r="451" spans="1:2" x14ac:dyDescent="0.25">
      <c r="A451" s="1">
        <v>45105</v>
      </c>
      <c r="B451">
        <v>4376.8599999999997</v>
      </c>
    </row>
    <row r="452" spans="1:2" x14ac:dyDescent="0.25">
      <c r="A452" s="1">
        <v>45106</v>
      </c>
      <c r="B452">
        <v>4396.4399999999996</v>
      </c>
    </row>
    <row r="453" spans="1:2" x14ac:dyDescent="0.25">
      <c r="A453" s="1">
        <v>45107</v>
      </c>
      <c r="B453">
        <v>4450.38</v>
      </c>
    </row>
    <row r="454" spans="1:2" x14ac:dyDescent="0.25">
      <c r="A454" s="1">
        <v>45110</v>
      </c>
      <c r="B454">
        <v>4455.59</v>
      </c>
    </row>
    <row r="455" spans="1:2" x14ac:dyDescent="0.25">
      <c r="A455" s="1">
        <v>45111</v>
      </c>
    </row>
    <row r="456" spans="1:2" x14ac:dyDescent="0.25">
      <c r="A456" s="1">
        <v>45112</v>
      </c>
      <c r="B456">
        <v>4446.82</v>
      </c>
    </row>
    <row r="457" spans="1:2" x14ac:dyDescent="0.25">
      <c r="A457" s="1">
        <v>45113</v>
      </c>
      <c r="B457">
        <v>4411.59</v>
      </c>
    </row>
    <row r="458" spans="1:2" x14ac:dyDescent="0.25">
      <c r="A458" s="1">
        <v>45114</v>
      </c>
      <c r="B458">
        <v>4398.95</v>
      </c>
    </row>
    <row r="459" spans="1:2" x14ac:dyDescent="0.25">
      <c r="A459" s="1">
        <v>45117</v>
      </c>
      <c r="B459">
        <v>4409.53</v>
      </c>
    </row>
    <row r="460" spans="1:2" x14ac:dyDescent="0.25">
      <c r="A460" s="1">
        <v>45118</v>
      </c>
      <c r="B460">
        <v>4439.26</v>
      </c>
    </row>
    <row r="461" spans="1:2" x14ac:dyDescent="0.25">
      <c r="A461" s="1">
        <v>45119</v>
      </c>
      <c r="B461">
        <v>4472.16</v>
      </c>
    </row>
    <row r="462" spans="1:2" x14ac:dyDescent="0.25">
      <c r="A462" s="1">
        <v>45120</v>
      </c>
      <c r="B462">
        <v>4510.04</v>
      </c>
    </row>
    <row r="463" spans="1:2" x14ac:dyDescent="0.25">
      <c r="A463" s="1">
        <v>45121</v>
      </c>
      <c r="B463">
        <v>4505.42</v>
      </c>
    </row>
    <row r="464" spans="1:2" x14ac:dyDescent="0.25">
      <c r="A464" s="1">
        <v>45124</v>
      </c>
      <c r="B464">
        <v>4522.79</v>
      </c>
    </row>
    <row r="465" spans="1:2" x14ac:dyDescent="0.25">
      <c r="A465" s="1">
        <v>45125</v>
      </c>
      <c r="B465">
        <v>4554.9799999999996</v>
      </c>
    </row>
    <row r="466" spans="1:2" x14ac:dyDescent="0.25">
      <c r="A466" s="1">
        <v>45126</v>
      </c>
      <c r="B466">
        <v>4565.72</v>
      </c>
    </row>
    <row r="467" spans="1:2" x14ac:dyDescent="0.25">
      <c r="A467" s="1">
        <v>45127</v>
      </c>
      <c r="B467">
        <v>4534.87</v>
      </c>
    </row>
    <row r="468" spans="1:2" x14ac:dyDescent="0.25">
      <c r="A468" s="1">
        <v>45128</v>
      </c>
      <c r="B468">
        <v>4536.34</v>
      </c>
    </row>
    <row r="469" spans="1:2" x14ac:dyDescent="0.25">
      <c r="A469" s="1">
        <v>45131</v>
      </c>
      <c r="B469">
        <v>4554.6400000000003</v>
      </c>
    </row>
    <row r="470" spans="1:2" x14ac:dyDescent="0.25">
      <c r="A470" s="1">
        <v>45132</v>
      </c>
      <c r="B470">
        <v>4567.46</v>
      </c>
    </row>
    <row r="471" spans="1:2" x14ac:dyDescent="0.25">
      <c r="A471" s="1">
        <v>45133</v>
      </c>
      <c r="B471">
        <v>4566.75</v>
      </c>
    </row>
    <row r="472" spans="1:2" x14ac:dyDescent="0.25">
      <c r="A472" s="1">
        <v>45134</v>
      </c>
      <c r="B472">
        <v>4537.41</v>
      </c>
    </row>
    <row r="473" spans="1:2" x14ac:dyDescent="0.25">
      <c r="A473" s="1">
        <v>45135</v>
      </c>
      <c r="B473">
        <v>4582.2299999999996</v>
      </c>
    </row>
    <row r="474" spans="1:2" x14ac:dyDescent="0.25">
      <c r="A474" s="1">
        <v>45138</v>
      </c>
      <c r="B474">
        <v>4588.96</v>
      </c>
    </row>
    <row r="475" spans="1:2" x14ac:dyDescent="0.25">
      <c r="A475" s="1">
        <v>45139</v>
      </c>
      <c r="B475">
        <v>4576.7299999999996</v>
      </c>
    </row>
    <row r="476" spans="1:2" x14ac:dyDescent="0.25">
      <c r="A476" s="1">
        <v>45140</v>
      </c>
      <c r="B476">
        <v>4513.3900000000003</v>
      </c>
    </row>
    <row r="477" spans="1:2" x14ac:dyDescent="0.25">
      <c r="A477" s="1">
        <v>45141</v>
      </c>
      <c r="B477">
        <v>4501.8900000000003</v>
      </c>
    </row>
    <row r="478" spans="1:2" x14ac:dyDescent="0.25">
      <c r="A478" s="1">
        <v>45142</v>
      </c>
      <c r="B478">
        <v>4478.03</v>
      </c>
    </row>
    <row r="479" spans="1:2" x14ac:dyDescent="0.25">
      <c r="A479" s="1">
        <v>45145</v>
      </c>
      <c r="B479">
        <v>4518.4399999999996</v>
      </c>
    </row>
    <row r="480" spans="1:2" x14ac:dyDescent="0.25">
      <c r="A480" s="1">
        <v>45146</v>
      </c>
      <c r="B480">
        <v>4499.38</v>
      </c>
    </row>
    <row r="481" spans="1:2" x14ac:dyDescent="0.25">
      <c r="A481" s="1">
        <v>45147</v>
      </c>
      <c r="B481">
        <v>4467.71</v>
      </c>
    </row>
    <row r="482" spans="1:2" x14ac:dyDescent="0.25">
      <c r="A482" s="1">
        <v>45148</v>
      </c>
      <c r="B482">
        <v>4468.83</v>
      </c>
    </row>
    <row r="483" spans="1:2" x14ac:dyDescent="0.25">
      <c r="A483" s="1">
        <v>45149</v>
      </c>
      <c r="B483">
        <v>4464.05</v>
      </c>
    </row>
    <row r="484" spans="1:2" x14ac:dyDescent="0.25">
      <c r="A484" s="1">
        <v>45152</v>
      </c>
      <c r="B484">
        <v>4489.72</v>
      </c>
    </row>
    <row r="485" spans="1:2" x14ac:dyDescent="0.25">
      <c r="A485" s="1">
        <v>45153</v>
      </c>
      <c r="B485">
        <v>4437.8599999999997</v>
      </c>
    </row>
    <row r="486" spans="1:2" x14ac:dyDescent="0.25">
      <c r="A486" s="1">
        <v>45154</v>
      </c>
      <c r="B486">
        <v>4404.33</v>
      </c>
    </row>
    <row r="487" spans="1:2" x14ac:dyDescent="0.25">
      <c r="A487" s="1">
        <v>45155</v>
      </c>
      <c r="B487">
        <v>4370.3599999999997</v>
      </c>
    </row>
    <row r="488" spans="1:2" x14ac:dyDescent="0.25">
      <c r="A488" s="1">
        <v>45156</v>
      </c>
      <c r="B488">
        <v>4369.71</v>
      </c>
    </row>
    <row r="489" spans="1:2" x14ac:dyDescent="0.25">
      <c r="A489" s="1">
        <v>45159</v>
      </c>
      <c r="B489">
        <v>4399.7700000000004</v>
      </c>
    </row>
    <row r="490" spans="1:2" x14ac:dyDescent="0.25">
      <c r="A490" s="1">
        <v>45160</v>
      </c>
      <c r="B490">
        <v>4387.55</v>
      </c>
    </row>
    <row r="491" spans="1:2" x14ac:dyDescent="0.25">
      <c r="A491" s="1">
        <v>45161</v>
      </c>
      <c r="B491">
        <v>4436.01</v>
      </c>
    </row>
    <row r="492" spans="1:2" x14ac:dyDescent="0.25">
      <c r="A492" s="1">
        <v>45162</v>
      </c>
      <c r="B492">
        <v>4376.3100000000004</v>
      </c>
    </row>
    <row r="493" spans="1:2" x14ac:dyDescent="0.25">
      <c r="A493" s="1">
        <v>45163</v>
      </c>
      <c r="B493">
        <v>4405.71</v>
      </c>
    </row>
    <row r="494" spans="1:2" x14ac:dyDescent="0.25">
      <c r="A494" s="1">
        <v>45166</v>
      </c>
      <c r="B494">
        <v>4433.3100000000004</v>
      </c>
    </row>
    <row r="495" spans="1:2" x14ac:dyDescent="0.25">
      <c r="A495" s="1">
        <v>45167</v>
      </c>
      <c r="B495">
        <v>4497.63</v>
      </c>
    </row>
    <row r="496" spans="1:2" x14ac:dyDescent="0.25">
      <c r="A496" s="1">
        <v>45168</v>
      </c>
      <c r="B496">
        <v>4514.87</v>
      </c>
    </row>
    <row r="497" spans="1:2" x14ac:dyDescent="0.25">
      <c r="A497" s="1">
        <v>45169</v>
      </c>
      <c r="B497">
        <v>4507.66</v>
      </c>
    </row>
    <row r="498" spans="1:2" x14ac:dyDescent="0.25">
      <c r="A498" s="1">
        <v>45170</v>
      </c>
      <c r="B498">
        <v>4515.7700000000004</v>
      </c>
    </row>
    <row r="499" spans="1:2" x14ac:dyDescent="0.25">
      <c r="A499" s="1">
        <v>45173</v>
      </c>
    </row>
    <row r="500" spans="1:2" x14ac:dyDescent="0.25">
      <c r="A500" s="1">
        <v>45174</v>
      </c>
      <c r="B500">
        <v>4496.83</v>
      </c>
    </row>
    <row r="501" spans="1:2" x14ac:dyDescent="0.25">
      <c r="A501" s="1">
        <v>45175</v>
      </c>
      <c r="B501">
        <v>4465.4799999999996</v>
      </c>
    </row>
    <row r="502" spans="1:2" x14ac:dyDescent="0.25">
      <c r="A502" s="1">
        <v>45176</v>
      </c>
      <c r="B502">
        <v>4451.1400000000003</v>
      </c>
    </row>
    <row r="503" spans="1:2" x14ac:dyDescent="0.25">
      <c r="A503" s="1">
        <v>45177</v>
      </c>
      <c r="B503">
        <v>4457.49</v>
      </c>
    </row>
    <row r="504" spans="1:2" x14ac:dyDescent="0.25">
      <c r="A504" s="1">
        <v>45180</v>
      </c>
      <c r="B504">
        <v>4487.46</v>
      </c>
    </row>
    <row r="505" spans="1:2" x14ac:dyDescent="0.25">
      <c r="A505" s="1">
        <v>45181</v>
      </c>
      <c r="B505">
        <v>4461.8999999999996</v>
      </c>
    </row>
    <row r="506" spans="1:2" x14ac:dyDescent="0.25">
      <c r="A506" s="1">
        <v>45182</v>
      </c>
      <c r="B506">
        <v>4467.4399999999996</v>
      </c>
    </row>
    <row r="507" spans="1:2" x14ac:dyDescent="0.25">
      <c r="A507" s="1">
        <v>45183</v>
      </c>
      <c r="B507">
        <v>4505.1000000000004</v>
      </c>
    </row>
    <row r="508" spans="1:2" x14ac:dyDescent="0.25">
      <c r="A508" s="1">
        <v>45184</v>
      </c>
      <c r="B508">
        <v>4450.32</v>
      </c>
    </row>
    <row r="509" spans="1:2" x14ac:dyDescent="0.25">
      <c r="A509" s="1">
        <v>45187</v>
      </c>
      <c r="B509">
        <v>4453.53</v>
      </c>
    </row>
    <row r="510" spans="1:2" x14ac:dyDescent="0.25">
      <c r="A510" s="1">
        <v>45188</v>
      </c>
      <c r="B510">
        <v>4443.95</v>
      </c>
    </row>
    <row r="511" spans="1:2" x14ac:dyDescent="0.25">
      <c r="A511" s="1">
        <v>45189</v>
      </c>
      <c r="B511">
        <v>4402.2</v>
      </c>
    </row>
    <row r="512" spans="1:2" x14ac:dyDescent="0.25">
      <c r="A512" s="1">
        <v>45190</v>
      </c>
      <c r="B512">
        <v>4330</v>
      </c>
    </row>
    <row r="513" spans="1:2" x14ac:dyDescent="0.25">
      <c r="A513" s="1">
        <v>45191</v>
      </c>
      <c r="B513">
        <v>4320.0600000000004</v>
      </c>
    </row>
    <row r="514" spans="1:2" x14ac:dyDescent="0.25">
      <c r="A514" s="1">
        <v>45194</v>
      </c>
      <c r="B514">
        <v>4337.4399999999996</v>
      </c>
    </row>
    <row r="515" spans="1:2" x14ac:dyDescent="0.25">
      <c r="A515" s="1">
        <v>45195</v>
      </c>
      <c r="B515">
        <v>4273.53</v>
      </c>
    </row>
    <row r="516" spans="1:2" x14ac:dyDescent="0.25">
      <c r="A516" s="1">
        <v>45196</v>
      </c>
      <c r="B516">
        <v>4274.51</v>
      </c>
    </row>
    <row r="517" spans="1:2" x14ac:dyDescent="0.25">
      <c r="A517" s="1">
        <v>45197</v>
      </c>
      <c r="B517">
        <v>4299.7</v>
      </c>
    </row>
    <row r="518" spans="1:2" x14ac:dyDescent="0.25">
      <c r="A518" s="1">
        <v>45198</v>
      </c>
      <c r="B518">
        <v>4288.05</v>
      </c>
    </row>
    <row r="519" spans="1:2" x14ac:dyDescent="0.25">
      <c r="A519" s="1">
        <v>45201</v>
      </c>
      <c r="B519">
        <v>4288.3900000000003</v>
      </c>
    </row>
    <row r="520" spans="1:2" x14ac:dyDescent="0.25">
      <c r="A520" s="1">
        <v>45202</v>
      </c>
      <c r="B520">
        <v>4229.45</v>
      </c>
    </row>
    <row r="521" spans="1:2" x14ac:dyDescent="0.25">
      <c r="A521" s="1">
        <v>45203</v>
      </c>
      <c r="B521">
        <v>4263.75</v>
      </c>
    </row>
    <row r="522" spans="1:2" x14ac:dyDescent="0.25">
      <c r="A522" s="1">
        <v>45204</v>
      </c>
      <c r="B522">
        <v>4258.1899999999996</v>
      </c>
    </row>
    <row r="523" spans="1:2" x14ac:dyDescent="0.25">
      <c r="A523" s="1">
        <v>45205</v>
      </c>
      <c r="B523">
        <v>4308.5</v>
      </c>
    </row>
    <row r="524" spans="1:2" x14ac:dyDescent="0.25">
      <c r="A524" s="1">
        <v>45208</v>
      </c>
      <c r="B524">
        <v>4335.66</v>
      </c>
    </row>
    <row r="525" spans="1:2" x14ac:dyDescent="0.25">
      <c r="A525" s="1">
        <v>45209</v>
      </c>
      <c r="B525">
        <v>4358.24</v>
      </c>
    </row>
    <row r="526" spans="1:2" x14ac:dyDescent="0.25">
      <c r="A526" s="1">
        <v>45210</v>
      </c>
      <c r="B526">
        <v>4376.95</v>
      </c>
    </row>
    <row r="527" spans="1:2" x14ac:dyDescent="0.25">
      <c r="A527" s="1">
        <v>45211</v>
      </c>
      <c r="B527">
        <v>4349.6099999999997</v>
      </c>
    </row>
    <row r="528" spans="1:2" x14ac:dyDescent="0.25">
      <c r="A528" s="1">
        <v>45212</v>
      </c>
      <c r="B528">
        <v>4327.78</v>
      </c>
    </row>
    <row r="529" spans="1:2" x14ac:dyDescent="0.25">
      <c r="A529" s="1">
        <v>45215</v>
      </c>
      <c r="B529">
        <v>4373.63</v>
      </c>
    </row>
    <row r="530" spans="1:2" x14ac:dyDescent="0.25">
      <c r="A530" s="1">
        <v>45216</v>
      </c>
      <c r="B530">
        <v>4373.2</v>
      </c>
    </row>
    <row r="531" spans="1:2" x14ac:dyDescent="0.25">
      <c r="A531" s="1">
        <v>45217</v>
      </c>
      <c r="B531">
        <v>4314.6000000000004</v>
      </c>
    </row>
    <row r="532" spans="1:2" x14ac:dyDescent="0.25">
      <c r="A532" s="1">
        <v>45218</v>
      </c>
      <c r="B532">
        <v>4278</v>
      </c>
    </row>
    <row r="533" spans="1:2" x14ac:dyDescent="0.25">
      <c r="A533" s="1">
        <v>45219</v>
      </c>
      <c r="B533">
        <v>4224.16</v>
      </c>
    </row>
    <row r="534" spans="1:2" x14ac:dyDescent="0.25">
      <c r="A534" s="1">
        <v>45222</v>
      </c>
      <c r="B534">
        <v>4217.04</v>
      </c>
    </row>
    <row r="535" spans="1:2" x14ac:dyDescent="0.25">
      <c r="A535" s="1">
        <v>45223</v>
      </c>
      <c r="B535">
        <v>4247.68</v>
      </c>
    </row>
    <row r="536" spans="1:2" x14ac:dyDescent="0.25">
      <c r="A536" s="1">
        <v>45224</v>
      </c>
      <c r="B536">
        <v>4186.7700000000004</v>
      </c>
    </row>
    <row r="537" spans="1:2" x14ac:dyDescent="0.25">
      <c r="A537" s="1">
        <v>45225</v>
      </c>
      <c r="B537">
        <v>4137.2299999999996</v>
      </c>
    </row>
    <row r="538" spans="1:2" x14ac:dyDescent="0.25">
      <c r="A538" s="1">
        <v>45226</v>
      </c>
      <c r="B538">
        <v>4117.37</v>
      </c>
    </row>
    <row r="539" spans="1:2" x14ac:dyDescent="0.25">
      <c r="A539" s="1">
        <v>45229</v>
      </c>
      <c r="B539">
        <v>4166.82</v>
      </c>
    </row>
    <row r="540" spans="1:2" x14ac:dyDescent="0.25">
      <c r="A540" s="1">
        <v>45230</v>
      </c>
      <c r="B540">
        <v>4193.8</v>
      </c>
    </row>
    <row r="541" spans="1:2" x14ac:dyDescent="0.25">
      <c r="A541" s="1">
        <v>45231</v>
      </c>
      <c r="B541">
        <v>4237.8599999999997</v>
      </c>
    </row>
    <row r="542" spans="1:2" x14ac:dyDescent="0.25">
      <c r="A542" s="1">
        <v>45232</v>
      </c>
      <c r="B542">
        <v>4317.78</v>
      </c>
    </row>
    <row r="543" spans="1:2" x14ac:dyDescent="0.25">
      <c r="A543" s="1">
        <v>45233</v>
      </c>
      <c r="B543">
        <v>4358.34</v>
      </c>
    </row>
    <row r="544" spans="1:2" x14ac:dyDescent="0.25">
      <c r="A544" s="1">
        <v>45236</v>
      </c>
      <c r="B544">
        <v>4365.9799999999996</v>
      </c>
    </row>
    <row r="545" spans="1:2" x14ac:dyDescent="0.25">
      <c r="A545" s="1">
        <v>45237</v>
      </c>
      <c r="B545">
        <v>4378.38</v>
      </c>
    </row>
    <row r="546" spans="1:2" x14ac:dyDescent="0.25">
      <c r="A546" s="1">
        <v>45238</v>
      </c>
      <c r="B546">
        <v>4382.78</v>
      </c>
    </row>
    <row r="547" spans="1:2" x14ac:dyDescent="0.25">
      <c r="A547" s="1">
        <v>45239</v>
      </c>
      <c r="B547">
        <v>4347.3500000000004</v>
      </c>
    </row>
    <row r="548" spans="1:2" x14ac:dyDescent="0.25">
      <c r="A548" s="1">
        <v>45240</v>
      </c>
      <c r="B548">
        <v>4415.24</v>
      </c>
    </row>
    <row r="549" spans="1:2" x14ac:dyDescent="0.25">
      <c r="A549" s="1">
        <v>45243</v>
      </c>
      <c r="B549">
        <v>4411.55</v>
      </c>
    </row>
    <row r="550" spans="1:2" x14ac:dyDescent="0.25">
      <c r="A550" s="1">
        <v>45244</v>
      </c>
      <c r="B550">
        <v>4495.7</v>
      </c>
    </row>
    <row r="551" spans="1:2" x14ac:dyDescent="0.25">
      <c r="A551" s="1">
        <v>45245</v>
      </c>
      <c r="B551">
        <v>4502.88</v>
      </c>
    </row>
    <row r="552" spans="1:2" x14ac:dyDescent="0.25">
      <c r="A552" s="1">
        <v>45246</v>
      </c>
      <c r="B552">
        <v>4508.24</v>
      </c>
    </row>
    <row r="553" spans="1:2" x14ac:dyDescent="0.25">
      <c r="A553" s="1">
        <v>45247</v>
      </c>
      <c r="B553">
        <v>4514.0200000000004</v>
      </c>
    </row>
    <row r="554" spans="1:2" x14ac:dyDescent="0.25">
      <c r="A554" s="1">
        <v>45250</v>
      </c>
      <c r="B554">
        <v>4547.38</v>
      </c>
    </row>
    <row r="555" spans="1:2" x14ac:dyDescent="0.25">
      <c r="A555" s="1">
        <v>45251</v>
      </c>
      <c r="B555">
        <v>4538.1899999999996</v>
      </c>
    </row>
    <row r="556" spans="1:2" x14ac:dyDescent="0.25">
      <c r="A556" s="1">
        <v>45252</v>
      </c>
      <c r="B556">
        <v>4556.62</v>
      </c>
    </row>
    <row r="557" spans="1:2" x14ac:dyDescent="0.25">
      <c r="A557" s="1">
        <v>45253</v>
      </c>
    </row>
    <row r="558" spans="1:2" x14ac:dyDescent="0.25">
      <c r="A558" s="1">
        <v>45254</v>
      </c>
      <c r="B558">
        <v>4559.34</v>
      </c>
    </row>
    <row r="559" spans="1:2" x14ac:dyDescent="0.25">
      <c r="A559" s="1">
        <v>45257</v>
      </c>
      <c r="B559">
        <v>4550.43</v>
      </c>
    </row>
    <row r="560" spans="1:2" x14ac:dyDescent="0.25">
      <c r="A560" s="1">
        <v>45258</v>
      </c>
      <c r="B560">
        <v>4554.8900000000003</v>
      </c>
    </row>
    <row r="561" spans="1:2" x14ac:dyDescent="0.25">
      <c r="A561" s="1">
        <v>45259</v>
      </c>
      <c r="B561">
        <v>4550.58</v>
      </c>
    </row>
    <row r="562" spans="1:2" x14ac:dyDescent="0.25">
      <c r="A562" s="1">
        <v>45260</v>
      </c>
      <c r="B562">
        <v>4567.8</v>
      </c>
    </row>
    <row r="563" spans="1:2" x14ac:dyDescent="0.25">
      <c r="A563" s="1">
        <v>45261</v>
      </c>
      <c r="B563">
        <v>4594.63</v>
      </c>
    </row>
    <row r="564" spans="1:2" x14ac:dyDescent="0.25">
      <c r="A564" s="1">
        <v>45264</v>
      </c>
      <c r="B564">
        <v>4569.78</v>
      </c>
    </row>
    <row r="565" spans="1:2" x14ac:dyDescent="0.25">
      <c r="A565" s="1">
        <v>45265</v>
      </c>
      <c r="B565">
        <v>4567.18</v>
      </c>
    </row>
    <row r="566" spans="1:2" x14ac:dyDescent="0.25">
      <c r="A566" s="1">
        <v>45266</v>
      </c>
      <c r="B566">
        <v>4549.34</v>
      </c>
    </row>
    <row r="567" spans="1:2" x14ac:dyDescent="0.25">
      <c r="A567" s="1">
        <v>45267</v>
      </c>
      <c r="B567">
        <v>4585.59</v>
      </c>
    </row>
    <row r="568" spans="1:2" x14ac:dyDescent="0.25">
      <c r="A568" s="1">
        <v>45268</v>
      </c>
      <c r="B568">
        <v>4604.37</v>
      </c>
    </row>
    <row r="569" spans="1:2" x14ac:dyDescent="0.25">
      <c r="A569" s="1">
        <v>45271</v>
      </c>
      <c r="B569">
        <v>4622.4399999999996</v>
      </c>
    </row>
    <row r="570" spans="1:2" x14ac:dyDescent="0.25">
      <c r="A570" s="1">
        <v>45272</v>
      </c>
      <c r="B570">
        <v>4643.7</v>
      </c>
    </row>
    <row r="571" spans="1:2" x14ac:dyDescent="0.25">
      <c r="A571" s="1">
        <v>45273</v>
      </c>
      <c r="B571">
        <v>4707.09</v>
      </c>
    </row>
    <row r="572" spans="1:2" x14ac:dyDescent="0.25">
      <c r="A572" s="1">
        <v>45274</v>
      </c>
      <c r="B572">
        <v>4719.55</v>
      </c>
    </row>
    <row r="573" spans="1:2" x14ac:dyDescent="0.25">
      <c r="A573" s="1">
        <v>45275</v>
      </c>
      <c r="B573">
        <v>4719.1899999999996</v>
      </c>
    </row>
    <row r="574" spans="1:2" x14ac:dyDescent="0.25">
      <c r="A574" s="1">
        <v>45278</v>
      </c>
      <c r="B574">
        <v>4740.5600000000004</v>
      </c>
    </row>
    <row r="575" spans="1:2" x14ac:dyDescent="0.25">
      <c r="A575" s="1">
        <v>45279</v>
      </c>
      <c r="B575">
        <v>4768.37</v>
      </c>
    </row>
    <row r="576" spans="1:2" x14ac:dyDescent="0.25">
      <c r="A576" s="1">
        <v>45280</v>
      </c>
      <c r="B576">
        <v>4698.3500000000004</v>
      </c>
    </row>
    <row r="577" spans="1:2" x14ac:dyDescent="0.25">
      <c r="A577" s="1">
        <v>45281</v>
      </c>
      <c r="B577">
        <v>4746.75</v>
      </c>
    </row>
    <row r="578" spans="1:2" x14ac:dyDescent="0.25">
      <c r="A578" s="1">
        <v>45282</v>
      </c>
      <c r="B578">
        <v>4754.63</v>
      </c>
    </row>
    <row r="579" spans="1:2" x14ac:dyDescent="0.25">
      <c r="A579" s="1">
        <v>45285</v>
      </c>
    </row>
    <row r="580" spans="1:2" x14ac:dyDescent="0.25">
      <c r="A580" s="1">
        <v>45286</v>
      </c>
      <c r="B580">
        <v>4774.75</v>
      </c>
    </row>
    <row r="581" spans="1:2" x14ac:dyDescent="0.25">
      <c r="A581" s="1">
        <v>45287</v>
      </c>
      <c r="B581">
        <v>4781.58</v>
      </c>
    </row>
    <row r="582" spans="1:2" x14ac:dyDescent="0.25">
      <c r="A582" s="1">
        <v>45288</v>
      </c>
      <c r="B582">
        <v>4783.3500000000004</v>
      </c>
    </row>
    <row r="583" spans="1:2" x14ac:dyDescent="0.25">
      <c r="A583" s="1">
        <v>45289</v>
      </c>
      <c r="B583">
        <v>4769.83</v>
      </c>
    </row>
    <row r="584" spans="1:2" x14ac:dyDescent="0.25">
      <c r="A584" s="1">
        <v>45292</v>
      </c>
    </row>
    <row r="585" spans="1:2" x14ac:dyDescent="0.25">
      <c r="A585" s="1">
        <v>45293</v>
      </c>
      <c r="B585">
        <v>4742.83</v>
      </c>
    </row>
    <row r="586" spans="1:2" x14ac:dyDescent="0.25">
      <c r="A586" s="1">
        <v>45294</v>
      </c>
      <c r="B586">
        <v>4704.8100000000004</v>
      </c>
    </row>
    <row r="587" spans="1:2" x14ac:dyDescent="0.25">
      <c r="A587" s="1">
        <v>45295</v>
      </c>
      <c r="B587">
        <v>4688.68</v>
      </c>
    </row>
    <row r="588" spans="1:2" x14ac:dyDescent="0.25">
      <c r="A588" s="1">
        <v>45296</v>
      </c>
      <c r="B588">
        <v>4697.24</v>
      </c>
    </row>
    <row r="589" spans="1:2" x14ac:dyDescent="0.25">
      <c r="A589" s="1">
        <v>45299</v>
      </c>
      <c r="B589">
        <v>4763.54</v>
      </c>
    </row>
    <row r="590" spans="1:2" x14ac:dyDescent="0.25">
      <c r="A590" s="1">
        <v>45300</v>
      </c>
      <c r="B590">
        <v>4756.5</v>
      </c>
    </row>
    <row r="591" spans="1:2" x14ac:dyDescent="0.25">
      <c r="A591" s="1">
        <v>45301</v>
      </c>
      <c r="B591">
        <v>4783.45</v>
      </c>
    </row>
    <row r="592" spans="1:2" x14ac:dyDescent="0.25">
      <c r="A592" s="1">
        <v>45302</v>
      </c>
      <c r="B592">
        <v>4780.24</v>
      </c>
    </row>
    <row r="593" spans="1:2" x14ac:dyDescent="0.25">
      <c r="A593" s="1">
        <v>45303</v>
      </c>
      <c r="B593">
        <v>4783.83</v>
      </c>
    </row>
    <row r="594" spans="1:2" x14ac:dyDescent="0.25">
      <c r="A594" s="1">
        <v>45306</v>
      </c>
    </row>
    <row r="595" spans="1:2" x14ac:dyDescent="0.25">
      <c r="A595" s="1">
        <v>45307</v>
      </c>
      <c r="B595">
        <v>4765.9799999999996</v>
      </c>
    </row>
    <row r="596" spans="1:2" x14ac:dyDescent="0.25">
      <c r="A596" s="1">
        <v>45308</v>
      </c>
      <c r="B596">
        <v>4739.21</v>
      </c>
    </row>
    <row r="597" spans="1:2" x14ac:dyDescent="0.25">
      <c r="A597" s="1">
        <v>45309</v>
      </c>
      <c r="B597">
        <v>4780.9399999999996</v>
      </c>
    </row>
    <row r="598" spans="1:2" x14ac:dyDescent="0.25">
      <c r="A598" s="1">
        <v>45310</v>
      </c>
      <c r="B598">
        <v>4839.8100000000004</v>
      </c>
    </row>
    <row r="599" spans="1:2" x14ac:dyDescent="0.25">
      <c r="A599" s="1">
        <v>45313</v>
      </c>
      <c r="B599">
        <v>4850.43</v>
      </c>
    </row>
    <row r="600" spans="1:2" x14ac:dyDescent="0.25">
      <c r="A600" s="1">
        <v>45314</v>
      </c>
      <c r="B600">
        <v>4864.6000000000004</v>
      </c>
    </row>
    <row r="601" spans="1:2" x14ac:dyDescent="0.25">
      <c r="A601" s="1">
        <v>45315</v>
      </c>
      <c r="B601">
        <v>4868.55</v>
      </c>
    </row>
    <row r="602" spans="1:2" x14ac:dyDescent="0.25">
      <c r="A602" s="1">
        <v>45316</v>
      </c>
      <c r="B602">
        <v>4894.16</v>
      </c>
    </row>
    <row r="603" spans="1:2" x14ac:dyDescent="0.25">
      <c r="A603" s="1">
        <v>45317</v>
      </c>
      <c r="B603">
        <v>4890.97</v>
      </c>
    </row>
    <row r="604" spans="1:2" x14ac:dyDescent="0.25">
      <c r="A604" s="1">
        <v>45320</v>
      </c>
      <c r="B604">
        <v>4927.93</v>
      </c>
    </row>
    <row r="605" spans="1:2" x14ac:dyDescent="0.25">
      <c r="A605" s="1">
        <v>45321</v>
      </c>
      <c r="B605">
        <v>4924.97</v>
      </c>
    </row>
    <row r="606" spans="1:2" x14ac:dyDescent="0.25">
      <c r="A606" s="1">
        <v>45322</v>
      </c>
      <c r="B606">
        <v>4845.6499999999996</v>
      </c>
    </row>
    <row r="607" spans="1:2" x14ac:dyDescent="0.25">
      <c r="A607" s="1">
        <v>45323</v>
      </c>
      <c r="B607">
        <v>4906.1899999999996</v>
      </c>
    </row>
    <row r="608" spans="1:2" x14ac:dyDescent="0.25">
      <c r="A608" s="1">
        <v>45324</v>
      </c>
      <c r="B608">
        <v>4958.6099999999997</v>
      </c>
    </row>
    <row r="609" spans="1:2" x14ac:dyDescent="0.25">
      <c r="A609" s="1">
        <v>45327</v>
      </c>
      <c r="B609">
        <v>4942.8100000000004</v>
      </c>
    </row>
    <row r="610" spans="1:2" x14ac:dyDescent="0.25">
      <c r="A610" s="1">
        <v>45328</v>
      </c>
      <c r="B610">
        <v>4954.2299999999996</v>
      </c>
    </row>
    <row r="611" spans="1:2" x14ac:dyDescent="0.25">
      <c r="A611" s="1">
        <v>45329</v>
      </c>
      <c r="B611">
        <v>4995.0600000000004</v>
      </c>
    </row>
    <row r="612" spans="1:2" x14ac:dyDescent="0.25">
      <c r="A612" s="1">
        <v>45330</v>
      </c>
      <c r="B612">
        <v>4997.91</v>
      </c>
    </row>
    <row r="613" spans="1:2" x14ac:dyDescent="0.25">
      <c r="A613" s="1">
        <v>45331</v>
      </c>
      <c r="B613">
        <v>5026.6099999999997</v>
      </c>
    </row>
    <row r="614" spans="1:2" x14ac:dyDescent="0.25">
      <c r="A614" s="1">
        <v>45334</v>
      </c>
      <c r="B614">
        <v>5021.84</v>
      </c>
    </row>
    <row r="615" spans="1:2" x14ac:dyDescent="0.25">
      <c r="A615" s="1">
        <v>45335</v>
      </c>
      <c r="B615">
        <v>4953.17</v>
      </c>
    </row>
    <row r="616" spans="1:2" x14ac:dyDescent="0.25">
      <c r="A616" s="1">
        <v>45336</v>
      </c>
      <c r="B616">
        <v>5000.62</v>
      </c>
    </row>
    <row r="617" spans="1:2" x14ac:dyDescent="0.25">
      <c r="A617" s="1">
        <v>45337</v>
      </c>
      <c r="B617">
        <v>5029.7299999999996</v>
      </c>
    </row>
    <row r="618" spans="1:2" x14ac:dyDescent="0.25">
      <c r="A618" s="1">
        <v>45338</v>
      </c>
      <c r="B618">
        <v>5005.57</v>
      </c>
    </row>
    <row r="619" spans="1:2" x14ac:dyDescent="0.25">
      <c r="A619" s="1">
        <v>45341</v>
      </c>
    </row>
    <row r="620" spans="1:2" x14ac:dyDescent="0.25">
      <c r="A620" s="1">
        <v>45342</v>
      </c>
      <c r="B620">
        <v>4975.51</v>
      </c>
    </row>
    <row r="621" spans="1:2" x14ac:dyDescent="0.25">
      <c r="A621" s="1">
        <v>45343</v>
      </c>
      <c r="B621">
        <v>4981.8</v>
      </c>
    </row>
    <row r="622" spans="1:2" x14ac:dyDescent="0.25">
      <c r="A622" s="1">
        <v>45344</v>
      </c>
      <c r="B622">
        <v>5087.03</v>
      </c>
    </row>
    <row r="623" spans="1:2" x14ac:dyDescent="0.25">
      <c r="A623" s="1">
        <v>45345</v>
      </c>
      <c r="B623">
        <v>5088.8</v>
      </c>
    </row>
    <row r="624" spans="1:2" x14ac:dyDescent="0.25">
      <c r="A624" s="1">
        <v>45348</v>
      </c>
      <c r="B624">
        <v>5069.53</v>
      </c>
    </row>
    <row r="625" spans="1:2" x14ac:dyDescent="0.25">
      <c r="A625" s="1">
        <v>45349</v>
      </c>
      <c r="B625">
        <v>5078.18</v>
      </c>
    </row>
    <row r="626" spans="1:2" x14ac:dyDescent="0.25">
      <c r="A626" s="1">
        <v>45350</v>
      </c>
      <c r="B626">
        <v>5069.76</v>
      </c>
    </row>
    <row r="627" spans="1:2" x14ac:dyDescent="0.25">
      <c r="A627" s="1">
        <v>45351</v>
      </c>
      <c r="B627">
        <v>5096.2700000000004</v>
      </c>
    </row>
    <row r="628" spans="1:2" x14ac:dyDescent="0.25">
      <c r="A628" s="1">
        <v>45352</v>
      </c>
      <c r="B628">
        <v>5137.08</v>
      </c>
    </row>
    <row r="629" spans="1:2" x14ac:dyDescent="0.25">
      <c r="A629" s="1">
        <v>45355</v>
      </c>
      <c r="B629">
        <v>5130.95</v>
      </c>
    </row>
    <row r="630" spans="1:2" x14ac:dyDescent="0.25">
      <c r="A630" s="1">
        <v>45356</v>
      </c>
      <c r="B630">
        <v>5078.6499999999996</v>
      </c>
    </row>
    <row r="631" spans="1:2" x14ac:dyDescent="0.25">
      <c r="A631" s="1">
        <v>45357</v>
      </c>
      <c r="B631">
        <v>5104.76</v>
      </c>
    </row>
    <row r="632" spans="1:2" x14ac:dyDescent="0.25">
      <c r="A632" s="1">
        <v>45358</v>
      </c>
      <c r="B632">
        <v>5157.3599999999997</v>
      </c>
    </row>
    <row r="633" spans="1:2" x14ac:dyDescent="0.25">
      <c r="A633" s="1">
        <v>45359</v>
      </c>
      <c r="B633">
        <v>5123.6899999999996</v>
      </c>
    </row>
    <row r="634" spans="1:2" x14ac:dyDescent="0.25">
      <c r="A634" s="1">
        <v>45362</v>
      </c>
      <c r="B634">
        <v>5117.9399999999996</v>
      </c>
    </row>
    <row r="635" spans="1:2" x14ac:dyDescent="0.25">
      <c r="A635" s="1">
        <v>45363</v>
      </c>
      <c r="B635">
        <v>5175.2700000000004</v>
      </c>
    </row>
    <row r="636" spans="1:2" x14ac:dyDescent="0.25">
      <c r="A636" s="1">
        <v>45364</v>
      </c>
      <c r="B636">
        <v>5165.3100000000004</v>
      </c>
    </row>
    <row r="637" spans="1:2" x14ac:dyDescent="0.25">
      <c r="A637" s="1">
        <v>45365</v>
      </c>
      <c r="B637">
        <v>5150.4799999999996</v>
      </c>
    </row>
    <row r="638" spans="1:2" x14ac:dyDescent="0.25">
      <c r="A638" s="1">
        <v>45366</v>
      </c>
      <c r="B638">
        <v>5117.09</v>
      </c>
    </row>
    <row r="639" spans="1:2" x14ac:dyDescent="0.25">
      <c r="A639" s="1">
        <v>45369</v>
      </c>
      <c r="B639">
        <v>5149.42</v>
      </c>
    </row>
    <row r="640" spans="1:2" x14ac:dyDescent="0.25">
      <c r="A640" s="1">
        <v>45370</v>
      </c>
      <c r="B640">
        <v>5178.51</v>
      </c>
    </row>
    <row r="641" spans="1:2" x14ac:dyDescent="0.25">
      <c r="A641" s="1">
        <v>45371</v>
      </c>
      <c r="B641">
        <v>5224.62</v>
      </c>
    </row>
    <row r="642" spans="1:2" x14ac:dyDescent="0.25">
      <c r="A642" s="1">
        <v>45372</v>
      </c>
      <c r="B642">
        <v>5241.53</v>
      </c>
    </row>
    <row r="643" spans="1:2" x14ac:dyDescent="0.25">
      <c r="A643" s="1">
        <v>45373</v>
      </c>
      <c r="B643">
        <v>5234.18</v>
      </c>
    </row>
    <row r="644" spans="1:2" x14ac:dyDescent="0.25">
      <c r="A644" s="1">
        <v>45376</v>
      </c>
      <c r="B644">
        <v>5218.1899999999996</v>
      </c>
    </row>
    <row r="645" spans="1:2" x14ac:dyDescent="0.25">
      <c r="A645" s="1">
        <v>45377</v>
      </c>
      <c r="B645">
        <v>5203.58</v>
      </c>
    </row>
    <row r="646" spans="1:2" x14ac:dyDescent="0.25">
      <c r="A646" s="1">
        <v>45378</v>
      </c>
      <c r="B646">
        <v>5248.49</v>
      </c>
    </row>
    <row r="647" spans="1:2" x14ac:dyDescent="0.25">
      <c r="A647" s="1">
        <v>45379</v>
      </c>
      <c r="B647">
        <v>5254.35</v>
      </c>
    </row>
    <row r="648" spans="1:2" x14ac:dyDescent="0.25">
      <c r="A648" s="1">
        <v>45380</v>
      </c>
    </row>
    <row r="649" spans="1:2" x14ac:dyDescent="0.25">
      <c r="A649" s="1">
        <v>45383</v>
      </c>
      <c r="B649">
        <v>5243.77</v>
      </c>
    </row>
    <row r="650" spans="1:2" x14ac:dyDescent="0.25">
      <c r="A650" s="1">
        <v>45384</v>
      </c>
      <c r="B650">
        <v>5205.8100000000004</v>
      </c>
    </row>
    <row r="651" spans="1:2" x14ac:dyDescent="0.25">
      <c r="A651" s="1">
        <v>45385</v>
      </c>
      <c r="B651">
        <v>5211.49</v>
      </c>
    </row>
    <row r="652" spans="1:2" x14ac:dyDescent="0.25">
      <c r="A652" s="1">
        <v>45386</v>
      </c>
      <c r="B652">
        <v>5147.21</v>
      </c>
    </row>
    <row r="653" spans="1:2" x14ac:dyDescent="0.25">
      <c r="A653" s="1">
        <v>45387</v>
      </c>
      <c r="B653">
        <v>5204.34</v>
      </c>
    </row>
    <row r="654" spans="1:2" x14ac:dyDescent="0.25">
      <c r="A654" s="1">
        <v>45390</v>
      </c>
      <c r="B654">
        <v>5202.3900000000003</v>
      </c>
    </row>
    <row r="655" spans="1:2" x14ac:dyDescent="0.25">
      <c r="A655" s="1">
        <v>45391</v>
      </c>
      <c r="B655">
        <v>5209.91</v>
      </c>
    </row>
    <row r="656" spans="1:2" x14ac:dyDescent="0.25">
      <c r="A656" s="1">
        <v>45392</v>
      </c>
      <c r="B656">
        <v>5160.6400000000003</v>
      </c>
    </row>
    <row r="657" spans="1:2" x14ac:dyDescent="0.25">
      <c r="A657" s="1">
        <v>45393</v>
      </c>
      <c r="B657">
        <v>5199.0600000000004</v>
      </c>
    </row>
    <row r="658" spans="1:2" x14ac:dyDescent="0.25">
      <c r="A658" s="1">
        <v>45394</v>
      </c>
      <c r="B658">
        <v>5123.41</v>
      </c>
    </row>
    <row r="659" spans="1:2" x14ac:dyDescent="0.25">
      <c r="A659" s="1">
        <v>45397</v>
      </c>
      <c r="B659">
        <v>5061.82</v>
      </c>
    </row>
    <row r="660" spans="1:2" x14ac:dyDescent="0.25">
      <c r="A660" s="1">
        <v>45398</v>
      </c>
      <c r="B660">
        <v>5051.41</v>
      </c>
    </row>
    <row r="661" spans="1:2" x14ac:dyDescent="0.25">
      <c r="A661" s="1">
        <v>45399</v>
      </c>
      <c r="B661">
        <v>5022.21</v>
      </c>
    </row>
    <row r="662" spans="1:2" x14ac:dyDescent="0.25">
      <c r="A662" s="1">
        <v>45400</v>
      </c>
      <c r="B662">
        <v>5011.12</v>
      </c>
    </row>
    <row r="663" spans="1:2" x14ac:dyDescent="0.25">
      <c r="A663" s="1">
        <v>45401</v>
      </c>
      <c r="B663">
        <v>4967.2299999999996</v>
      </c>
    </row>
    <row r="664" spans="1:2" x14ac:dyDescent="0.25">
      <c r="A664" s="1">
        <v>45404</v>
      </c>
      <c r="B664">
        <v>5010.6000000000004</v>
      </c>
    </row>
    <row r="665" spans="1:2" x14ac:dyDescent="0.25">
      <c r="A665" s="1">
        <v>45405</v>
      </c>
      <c r="B665">
        <v>5070.55</v>
      </c>
    </row>
    <row r="666" spans="1:2" x14ac:dyDescent="0.25">
      <c r="A666" s="1">
        <v>45406</v>
      </c>
      <c r="B666">
        <v>5071.63</v>
      </c>
    </row>
    <row r="667" spans="1:2" x14ac:dyDescent="0.25">
      <c r="A667" s="1">
        <v>45407</v>
      </c>
      <c r="B667">
        <v>5048.42</v>
      </c>
    </row>
    <row r="668" spans="1:2" x14ac:dyDescent="0.25">
      <c r="A668" s="1">
        <v>45408</v>
      </c>
      <c r="B668">
        <v>5099.96</v>
      </c>
    </row>
    <row r="669" spans="1:2" x14ac:dyDescent="0.25">
      <c r="A669" s="1">
        <v>45411</v>
      </c>
      <c r="B669">
        <v>5116.17</v>
      </c>
    </row>
    <row r="670" spans="1:2" x14ac:dyDescent="0.25">
      <c r="A670" s="1">
        <v>45412</v>
      </c>
      <c r="B670">
        <v>5035.6899999999996</v>
      </c>
    </row>
    <row r="671" spans="1:2" x14ac:dyDescent="0.25">
      <c r="A671" s="1">
        <v>45413</v>
      </c>
      <c r="B671">
        <v>5018.3900000000003</v>
      </c>
    </row>
    <row r="672" spans="1:2" x14ac:dyDescent="0.25">
      <c r="A672" s="1">
        <v>45414</v>
      </c>
      <c r="B672">
        <v>5064.2</v>
      </c>
    </row>
    <row r="673" spans="1:2" x14ac:dyDescent="0.25">
      <c r="A673" s="1">
        <v>45415</v>
      </c>
      <c r="B673">
        <v>5127.79</v>
      </c>
    </row>
    <row r="674" spans="1:2" x14ac:dyDescent="0.25">
      <c r="A674" s="1">
        <v>45418</v>
      </c>
      <c r="B674">
        <v>5180.74</v>
      </c>
    </row>
    <row r="675" spans="1:2" x14ac:dyDescent="0.25">
      <c r="A675" s="1">
        <v>45419</v>
      </c>
      <c r="B675">
        <v>5187.7</v>
      </c>
    </row>
    <row r="676" spans="1:2" x14ac:dyDescent="0.25">
      <c r="A676" s="1">
        <v>45420</v>
      </c>
      <c r="B676">
        <v>5187.67</v>
      </c>
    </row>
    <row r="677" spans="1:2" x14ac:dyDescent="0.25">
      <c r="A677" s="1">
        <v>45421</v>
      </c>
      <c r="B677">
        <v>5214.08</v>
      </c>
    </row>
    <row r="678" spans="1:2" x14ac:dyDescent="0.25">
      <c r="A678" s="1">
        <v>45422</v>
      </c>
      <c r="B678">
        <v>5222.68</v>
      </c>
    </row>
    <row r="679" spans="1:2" x14ac:dyDescent="0.25">
      <c r="A679" s="1">
        <v>45425</v>
      </c>
      <c r="B679">
        <v>5221.42</v>
      </c>
    </row>
    <row r="680" spans="1:2" x14ac:dyDescent="0.25">
      <c r="A680" s="1">
        <v>45426</v>
      </c>
      <c r="B680">
        <v>5246.68</v>
      </c>
    </row>
    <row r="681" spans="1:2" x14ac:dyDescent="0.25">
      <c r="A681" s="1">
        <v>45427</v>
      </c>
      <c r="B681">
        <v>5308.15</v>
      </c>
    </row>
    <row r="682" spans="1:2" x14ac:dyDescent="0.25">
      <c r="A682" s="1">
        <v>45428</v>
      </c>
      <c r="B682">
        <v>5297.1</v>
      </c>
    </row>
    <row r="683" spans="1:2" x14ac:dyDescent="0.25">
      <c r="A683" s="1">
        <v>45429</v>
      </c>
      <c r="B683">
        <v>5303.27</v>
      </c>
    </row>
    <row r="684" spans="1:2" x14ac:dyDescent="0.25">
      <c r="A684" s="1">
        <v>45432</v>
      </c>
      <c r="B684">
        <v>5308.13</v>
      </c>
    </row>
    <row r="685" spans="1:2" x14ac:dyDescent="0.25">
      <c r="A685" s="1">
        <v>45433</v>
      </c>
      <c r="B685">
        <v>5321.41</v>
      </c>
    </row>
    <row r="686" spans="1:2" x14ac:dyDescent="0.25">
      <c r="A686" s="1">
        <v>45434</v>
      </c>
      <c r="B686">
        <v>5307.01</v>
      </c>
    </row>
    <row r="687" spans="1:2" x14ac:dyDescent="0.25">
      <c r="A687" s="1">
        <v>45435</v>
      </c>
      <c r="B687">
        <v>5267.84</v>
      </c>
    </row>
    <row r="688" spans="1:2" x14ac:dyDescent="0.25">
      <c r="A688" s="1">
        <v>45436</v>
      </c>
      <c r="B688">
        <v>5304.72</v>
      </c>
    </row>
    <row r="689" spans="1:2" x14ac:dyDescent="0.25">
      <c r="A689" s="1">
        <v>45439</v>
      </c>
    </row>
    <row r="690" spans="1:2" x14ac:dyDescent="0.25">
      <c r="A690" s="1">
        <v>45440</v>
      </c>
      <c r="B690">
        <v>5306.04</v>
      </c>
    </row>
    <row r="691" spans="1:2" x14ac:dyDescent="0.25">
      <c r="A691" s="1">
        <v>45441</v>
      </c>
      <c r="B691">
        <v>5266.95</v>
      </c>
    </row>
    <row r="692" spans="1:2" x14ac:dyDescent="0.25">
      <c r="A692" s="1">
        <v>45442</v>
      </c>
      <c r="B692">
        <v>5235.4799999999996</v>
      </c>
    </row>
    <row r="693" spans="1:2" x14ac:dyDescent="0.25">
      <c r="A693" s="1">
        <v>45443</v>
      </c>
      <c r="B693">
        <v>5277.51</v>
      </c>
    </row>
    <row r="694" spans="1:2" x14ac:dyDescent="0.25">
      <c r="A694" s="1">
        <v>45446</v>
      </c>
      <c r="B694">
        <v>5283.4</v>
      </c>
    </row>
    <row r="695" spans="1:2" x14ac:dyDescent="0.25">
      <c r="A695" s="1">
        <v>45447</v>
      </c>
      <c r="B695">
        <v>5291.34</v>
      </c>
    </row>
    <row r="696" spans="1:2" x14ac:dyDescent="0.25">
      <c r="A696" s="1">
        <v>45448</v>
      </c>
      <c r="B696">
        <v>5354.03</v>
      </c>
    </row>
    <row r="697" spans="1:2" x14ac:dyDescent="0.25">
      <c r="A697" s="1">
        <v>45449</v>
      </c>
      <c r="B697">
        <v>5352.96</v>
      </c>
    </row>
    <row r="698" spans="1:2" x14ac:dyDescent="0.25">
      <c r="A698" s="1">
        <v>45450</v>
      </c>
      <c r="B698">
        <v>5346.99</v>
      </c>
    </row>
    <row r="699" spans="1:2" x14ac:dyDescent="0.25">
      <c r="A699" s="1">
        <v>45453</v>
      </c>
      <c r="B699">
        <v>5360.79</v>
      </c>
    </row>
    <row r="700" spans="1:2" x14ac:dyDescent="0.25">
      <c r="A700" s="1">
        <v>45454</v>
      </c>
      <c r="B700">
        <v>5375.32</v>
      </c>
    </row>
    <row r="701" spans="1:2" x14ac:dyDescent="0.25">
      <c r="A701" s="1">
        <v>45455</v>
      </c>
      <c r="B701">
        <v>5421.03</v>
      </c>
    </row>
    <row r="702" spans="1:2" x14ac:dyDescent="0.25">
      <c r="A702" s="1">
        <v>45456</v>
      </c>
      <c r="B702">
        <v>5433.74</v>
      </c>
    </row>
    <row r="703" spans="1:2" x14ac:dyDescent="0.25">
      <c r="A703" s="1">
        <v>45457</v>
      </c>
      <c r="B703">
        <v>5431.6</v>
      </c>
    </row>
    <row r="704" spans="1:2" x14ac:dyDescent="0.25">
      <c r="A704" s="1">
        <v>45460</v>
      </c>
      <c r="B704">
        <v>5473.23</v>
      </c>
    </row>
    <row r="705" spans="1:2" x14ac:dyDescent="0.25">
      <c r="A705" s="1">
        <v>45461</v>
      </c>
      <c r="B705">
        <v>5487.03</v>
      </c>
    </row>
    <row r="706" spans="1:2" x14ac:dyDescent="0.25">
      <c r="A706" s="1">
        <v>45462</v>
      </c>
    </row>
    <row r="707" spans="1:2" x14ac:dyDescent="0.25">
      <c r="A707" s="1">
        <v>45463</v>
      </c>
      <c r="B707">
        <v>5473.17</v>
      </c>
    </row>
    <row r="708" spans="1:2" x14ac:dyDescent="0.25">
      <c r="A708" s="1">
        <v>45464</v>
      </c>
      <c r="B708">
        <v>5464.62</v>
      </c>
    </row>
    <row r="709" spans="1:2" x14ac:dyDescent="0.25">
      <c r="A709" s="1">
        <v>45467</v>
      </c>
      <c r="B709">
        <v>5447.87</v>
      </c>
    </row>
    <row r="710" spans="1:2" x14ac:dyDescent="0.25">
      <c r="A710" s="1">
        <v>45468</v>
      </c>
      <c r="B710">
        <v>5469.3</v>
      </c>
    </row>
    <row r="711" spans="1:2" x14ac:dyDescent="0.25">
      <c r="A711" s="1">
        <v>45469</v>
      </c>
      <c r="B711">
        <v>5477.9</v>
      </c>
    </row>
    <row r="712" spans="1:2" x14ac:dyDescent="0.25">
      <c r="A712" s="1">
        <v>45470</v>
      </c>
      <c r="B712">
        <v>5482.87</v>
      </c>
    </row>
    <row r="713" spans="1:2" x14ac:dyDescent="0.25">
      <c r="A713" s="1">
        <v>45471</v>
      </c>
      <c r="B713">
        <v>5460.48</v>
      </c>
    </row>
    <row r="714" spans="1:2" x14ac:dyDescent="0.25">
      <c r="A714" s="1">
        <v>45474</v>
      </c>
      <c r="B714">
        <v>5475.09</v>
      </c>
    </row>
    <row r="715" spans="1:2" x14ac:dyDescent="0.25">
      <c r="A715" s="1">
        <v>45475</v>
      </c>
      <c r="B715">
        <v>5509.01</v>
      </c>
    </row>
    <row r="716" spans="1:2" x14ac:dyDescent="0.25">
      <c r="A716" s="1">
        <v>45476</v>
      </c>
      <c r="B716">
        <v>5537.02</v>
      </c>
    </row>
    <row r="717" spans="1:2" x14ac:dyDescent="0.25">
      <c r="A717" s="1">
        <v>45477</v>
      </c>
    </row>
    <row r="718" spans="1:2" x14ac:dyDescent="0.25">
      <c r="A718" s="1">
        <v>45478</v>
      </c>
      <c r="B718">
        <v>5567.19</v>
      </c>
    </row>
    <row r="719" spans="1:2" x14ac:dyDescent="0.25">
      <c r="A719" s="1">
        <v>45481</v>
      </c>
      <c r="B719">
        <v>5572.85</v>
      </c>
    </row>
    <row r="720" spans="1:2" x14ac:dyDescent="0.25">
      <c r="A720" s="1">
        <v>45482</v>
      </c>
      <c r="B720">
        <v>5576.98</v>
      </c>
    </row>
    <row r="721" spans="1:2" x14ac:dyDescent="0.25">
      <c r="A721" s="1">
        <v>45483</v>
      </c>
      <c r="B721">
        <v>5633.91</v>
      </c>
    </row>
    <row r="722" spans="1:2" x14ac:dyDescent="0.25">
      <c r="A722" s="1">
        <v>45484</v>
      </c>
      <c r="B722">
        <v>5584.54</v>
      </c>
    </row>
    <row r="723" spans="1:2" x14ac:dyDescent="0.25">
      <c r="A723" s="1">
        <v>45485</v>
      </c>
      <c r="B723">
        <v>5615.35</v>
      </c>
    </row>
    <row r="724" spans="1:2" x14ac:dyDescent="0.25">
      <c r="A724" s="1">
        <v>45488</v>
      </c>
      <c r="B724">
        <v>5631.22</v>
      </c>
    </row>
    <row r="725" spans="1:2" x14ac:dyDescent="0.25">
      <c r="A725" s="1">
        <v>45489</v>
      </c>
      <c r="B725">
        <v>5667.2</v>
      </c>
    </row>
    <row r="726" spans="1:2" x14ac:dyDescent="0.25">
      <c r="A726" s="1">
        <v>45490</v>
      </c>
      <c r="B726">
        <v>5588.27</v>
      </c>
    </row>
    <row r="727" spans="1:2" x14ac:dyDescent="0.25">
      <c r="A727" s="1">
        <v>45491</v>
      </c>
      <c r="B727">
        <v>5544.59</v>
      </c>
    </row>
    <row r="728" spans="1:2" x14ac:dyDescent="0.25">
      <c r="A728" s="1">
        <v>45492</v>
      </c>
      <c r="B728">
        <v>5505</v>
      </c>
    </row>
    <row r="729" spans="1:2" x14ac:dyDescent="0.25">
      <c r="A729" s="1">
        <v>45495</v>
      </c>
      <c r="B729">
        <v>5564.41</v>
      </c>
    </row>
    <row r="730" spans="1:2" x14ac:dyDescent="0.25">
      <c r="A730" s="1">
        <v>45496</v>
      </c>
      <c r="B730">
        <v>5555.74</v>
      </c>
    </row>
    <row r="731" spans="1:2" x14ac:dyDescent="0.25">
      <c r="A731" s="1">
        <v>45497</v>
      </c>
      <c r="B731">
        <v>5427.13</v>
      </c>
    </row>
    <row r="732" spans="1:2" x14ac:dyDescent="0.25">
      <c r="A732" s="1">
        <v>45498</v>
      </c>
      <c r="B732">
        <v>5399.22</v>
      </c>
    </row>
    <row r="733" spans="1:2" x14ac:dyDescent="0.25">
      <c r="A733" s="1">
        <v>45499</v>
      </c>
      <c r="B733">
        <v>5459.1</v>
      </c>
    </row>
    <row r="734" spans="1:2" x14ac:dyDescent="0.25">
      <c r="A734" s="1">
        <v>45502</v>
      </c>
      <c r="B734">
        <v>5463.54</v>
      </c>
    </row>
    <row r="735" spans="1:2" x14ac:dyDescent="0.25">
      <c r="A735" s="1">
        <v>45503</v>
      </c>
      <c r="B735">
        <v>5436.44</v>
      </c>
    </row>
    <row r="736" spans="1:2" x14ac:dyDescent="0.25">
      <c r="A736" s="1">
        <v>45504</v>
      </c>
      <c r="B736">
        <v>5522.3</v>
      </c>
    </row>
    <row r="737" spans="1:2" x14ac:dyDescent="0.25">
      <c r="A737" s="1">
        <v>45505</v>
      </c>
      <c r="B737">
        <v>5446.68</v>
      </c>
    </row>
    <row r="738" spans="1:2" x14ac:dyDescent="0.25">
      <c r="A738" s="1">
        <v>45506</v>
      </c>
      <c r="B738">
        <v>5346.56</v>
      </c>
    </row>
    <row r="739" spans="1:2" x14ac:dyDescent="0.25">
      <c r="A739" s="1">
        <v>45509</v>
      </c>
      <c r="B739">
        <v>5186.33</v>
      </c>
    </row>
    <row r="740" spans="1:2" x14ac:dyDescent="0.25">
      <c r="A740" s="1">
        <v>45510</v>
      </c>
      <c r="B740">
        <v>5240.03</v>
      </c>
    </row>
    <row r="741" spans="1:2" x14ac:dyDescent="0.25">
      <c r="A741" s="1">
        <v>45511</v>
      </c>
      <c r="B741">
        <v>5199.5</v>
      </c>
    </row>
    <row r="742" spans="1:2" x14ac:dyDescent="0.25">
      <c r="A742" s="1">
        <v>45512</v>
      </c>
      <c r="B742">
        <v>5319.31</v>
      </c>
    </row>
    <row r="743" spans="1:2" x14ac:dyDescent="0.25">
      <c r="A743" s="1">
        <v>45513</v>
      </c>
      <c r="B743">
        <v>5344.16</v>
      </c>
    </row>
    <row r="744" spans="1:2" x14ac:dyDescent="0.25">
      <c r="A744" s="1">
        <v>45516</v>
      </c>
      <c r="B744">
        <v>5344.39</v>
      </c>
    </row>
    <row r="745" spans="1:2" x14ac:dyDescent="0.25">
      <c r="A745" s="1">
        <v>45517</v>
      </c>
      <c r="B745">
        <v>5434.43</v>
      </c>
    </row>
    <row r="746" spans="1:2" x14ac:dyDescent="0.25">
      <c r="A746" s="1">
        <v>45518</v>
      </c>
      <c r="B746">
        <v>5455.21</v>
      </c>
    </row>
    <row r="747" spans="1:2" x14ac:dyDescent="0.25">
      <c r="A747" s="1">
        <v>45519</v>
      </c>
      <c r="B747">
        <v>5543.22</v>
      </c>
    </row>
    <row r="748" spans="1:2" x14ac:dyDescent="0.25">
      <c r="A748" s="1">
        <v>45520</v>
      </c>
      <c r="B748">
        <v>5554.25</v>
      </c>
    </row>
    <row r="749" spans="1:2" x14ac:dyDescent="0.25">
      <c r="A749" s="1">
        <v>45523</v>
      </c>
      <c r="B749">
        <v>5608.25</v>
      </c>
    </row>
    <row r="750" spans="1:2" x14ac:dyDescent="0.25">
      <c r="A750" s="1">
        <v>45524</v>
      </c>
      <c r="B750">
        <v>5597.12</v>
      </c>
    </row>
    <row r="751" spans="1:2" x14ac:dyDescent="0.25">
      <c r="A751" s="1">
        <v>45525</v>
      </c>
      <c r="B751">
        <v>5620.85</v>
      </c>
    </row>
    <row r="752" spans="1:2" x14ac:dyDescent="0.25">
      <c r="A752" s="1">
        <v>45526</v>
      </c>
      <c r="B752">
        <v>5570.64</v>
      </c>
    </row>
    <row r="753" spans="1:2" x14ac:dyDescent="0.25">
      <c r="A753" s="1">
        <v>45527</v>
      </c>
      <c r="B753">
        <v>5634.61</v>
      </c>
    </row>
    <row r="754" spans="1:2" x14ac:dyDescent="0.25">
      <c r="A754" s="1">
        <v>45530</v>
      </c>
      <c r="B754">
        <v>5616.84</v>
      </c>
    </row>
    <row r="755" spans="1:2" x14ac:dyDescent="0.25">
      <c r="A755" s="1">
        <v>45531</v>
      </c>
      <c r="B755">
        <v>5625.8</v>
      </c>
    </row>
    <row r="756" spans="1:2" x14ac:dyDescent="0.25">
      <c r="A756" s="1">
        <v>45532</v>
      </c>
      <c r="B756">
        <v>5592.18</v>
      </c>
    </row>
    <row r="757" spans="1:2" x14ac:dyDescent="0.25">
      <c r="A757" s="1">
        <v>45533</v>
      </c>
      <c r="B757">
        <v>5591.96</v>
      </c>
    </row>
    <row r="758" spans="1:2" x14ac:dyDescent="0.25">
      <c r="A758" s="1">
        <v>45534</v>
      </c>
      <c r="B758">
        <v>5648.4</v>
      </c>
    </row>
    <row r="759" spans="1:2" x14ac:dyDescent="0.25">
      <c r="A759" s="1">
        <v>45537</v>
      </c>
    </row>
    <row r="760" spans="1:2" x14ac:dyDescent="0.25">
      <c r="A760" s="1">
        <v>45538</v>
      </c>
      <c r="B760">
        <v>5528.93</v>
      </c>
    </row>
    <row r="761" spans="1:2" x14ac:dyDescent="0.25">
      <c r="A761" s="1">
        <v>45539</v>
      </c>
      <c r="B761">
        <v>5520.07</v>
      </c>
    </row>
    <row r="762" spans="1:2" x14ac:dyDescent="0.25">
      <c r="A762" s="1">
        <v>45540</v>
      </c>
      <c r="B762">
        <v>5503.41</v>
      </c>
    </row>
    <row r="763" spans="1:2" x14ac:dyDescent="0.25">
      <c r="A763" s="1">
        <v>45541</v>
      </c>
      <c r="B763">
        <v>5408.42</v>
      </c>
    </row>
    <row r="764" spans="1:2" x14ac:dyDescent="0.25">
      <c r="A764" s="1">
        <v>45544</v>
      </c>
      <c r="B764">
        <v>5471.05</v>
      </c>
    </row>
    <row r="765" spans="1:2" x14ac:dyDescent="0.25">
      <c r="A765" s="1">
        <v>45545</v>
      </c>
      <c r="B765">
        <v>5495.52</v>
      </c>
    </row>
    <row r="766" spans="1:2" x14ac:dyDescent="0.25">
      <c r="A766" s="1">
        <v>45546</v>
      </c>
      <c r="B766">
        <v>5554.13</v>
      </c>
    </row>
    <row r="767" spans="1:2" x14ac:dyDescent="0.25">
      <c r="A767" s="1">
        <v>45547</v>
      </c>
      <c r="B767">
        <v>5595.76</v>
      </c>
    </row>
    <row r="768" spans="1:2" x14ac:dyDescent="0.25">
      <c r="A768" s="1">
        <v>45548</v>
      </c>
      <c r="B768">
        <v>5626.02</v>
      </c>
    </row>
    <row r="769" spans="1:2" x14ac:dyDescent="0.25">
      <c r="A769" s="1">
        <v>45551</v>
      </c>
      <c r="B769">
        <v>5633.09</v>
      </c>
    </row>
    <row r="770" spans="1:2" x14ac:dyDescent="0.25">
      <c r="A770" s="1">
        <v>45552</v>
      </c>
      <c r="B770">
        <v>5634.58</v>
      </c>
    </row>
    <row r="771" spans="1:2" x14ac:dyDescent="0.25">
      <c r="A771" s="1">
        <v>45553</v>
      </c>
      <c r="B771">
        <v>5618.26</v>
      </c>
    </row>
    <row r="772" spans="1:2" x14ac:dyDescent="0.25">
      <c r="A772" s="1">
        <v>45554</v>
      </c>
      <c r="B772">
        <v>5713.64</v>
      </c>
    </row>
    <row r="773" spans="1:2" x14ac:dyDescent="0.25">
      <c r="A773" s="1">
        <v>45555</v>
      </c>
      <c r="B773">
        <v>5702.55</v>
      </c>
    </row>
    <row r="774" spans="1:2" x14ac:dyDescent="0.25">
      <c r="A774" s="1">
        <v>45558</v>
      </c>
      <c r="B774">
        <v>5718.57</v>
      </c>
    </row>
    <row r="775" spans="1:2" x14ac:dyDescent="0.25">
      <c r="A775" s="1">
        <v>45559</v>
      </c>
      <c r="B775">
        <v>5732.93</v>
      </c>
    </row>
    <row r="776" spans="1:2" x14ac:dyDescent="0.25">
      <c r="A776" s="1">
        <v>45560</v>
      </c>
      <c r="B776">
        <v>5722.26</v>
      </c>
    </row>
    <row r="777" spans="1:2" x14ac:dyDescent="0.25">
      <c r="A777" s="1">
        <v>45561</v>
      </c>
      <c r="B777">
        <v>5745.37</v>
      </c>
    </row>
    <row r="778" spans="1:2" x14ac:dyDescent="0.25">
      <c r="A778" s="1">
        <v>45562</v>
      </c>
      <c r="B778">
        <v>5738.17</v>
      </c>
    </row>
    <row r="779" spans="1:2" x14ac:dyDescent="0.25">
      <c r="A779" s="1">
        <v>45565</v>
      </c>
      <c r="B779">
        <v>5762.48</v>
      </c>
    </row>
    <row r="780" spans="1:2" x14ac:dyDescent="0.25">
      <c r="A780" s="1">
        <v>45566</v>
      </c>
      <c r="B780">
        <v>5708.75</v>
      </c>
    </row>
    <row r="781" spans="1:2" x14ac:dyDescent="0.25">
      <c r="A781" s="1">
        <v>45567</v>
      </c>
      <c r="B781">
        <v>5709.54</v>
      </c>
    </row>
    <row r="782" spans="1:2" x14ac:dyDescent="0.25">
      <c r="A782" s="1">
        <v>45568</v>
      </c>
      <c r="B782">
        <v>5699.94</v>
      </c>
    </row>
    <row r="783" spans="1:2" x14ac:dyDescent="0.25">
      <c r="A783" s="1">
        <v>45569</v>
      </c>
      <c r="B783">
        <v>5751.07</v>
      </c>
    </row>
    <row r="784" spans="1:2" x14ac:dyDescent="0.25">
      <c r="A784" s="1">
        <v>45572</v>
      </c>
      <c r="B784">
        <v>5695.94</v>
      </c>
    </row>
    <row r="785" spans="1:2" x14ac:dyDescent="0.25">
      <c r="A785" s="1">
        <v>45573</v>
      </c>
      <c r="B785">
        <v>5751.13</v>
      </c>
    </row>
    <row r="786" spans="1:2" x14ac:dyDescent="0.25">
      <c r="A786" s="1">
        <v>45574</v>
      </c>
      <c r="B786">
        <v>5792.04</v>
      </c>
    </row>
    <row r="787" spans="1:2" x14ac:dyDescent="0.25">
      <c r="A787" s="1">
        <v>45575</v>
      </c>
      <c r="B787">
        <v>5780.05</v>
      </c>
    </row>
    <row r="788" spans="1:2" x14ac:dyDescent="0.25">
      <c r="A788" s="1">
        <v>45576</v>
      </c>
      <c r="B788">
        <v>5815.03</v>
      </c>
    </row>
    <row r="789" spans="1:2" x14ac:dyDescent="0.25">
      <c r="A789" s="1">
        <v>45579</v>
      </c>
      <c r="B789">
        <v>5859.85</v>
      </c>
    </row>
    <row r="790" spans="1:2" x14ac:dyDescent="0.25">
      <c r="A790" s="1">
        <v>45580</v>
      </c>
      <c r="B790">
        <v>5815.26</v>
      </c>
    </row>
    <row r="791" spans="1:2" x14ac:dyDescent="0.25">
      <c r="A791" s="1">
        <v>45581</v>
      </c>
      <c r="B791">
        <v>5842.47</v>
      </c>
    </row>
    <row r="792" spans="1:2" x14ac:dyDescent="0.25">
      <c r="A792" s="1">
        <v>45582</v>
      </c>
      <c r="B792">
        <v>5841.47</v>
      </c>
    </row>
    <row r="793" spans="1:2" x14ac:dyDescent="0.25">
      <c r="A793" s="1">
        <v>45583</v>
      </c>
      <c r="B793">
        <v>5864.67</v>
      </c>
    </row>
    <row r="794" spans="1:2" x14ac:dyDescent="0.25">
      <c r="A794" s="1">
        <v>45586</v>
      </c>
      <c r="B794">
        <v>5853.98</v>
      </c>
    </row>
    <row r="795" spans="1:2" x14ac:dyDescent="0.25">
      <c r="A795" s="1">
        <v>45587</v>
      </c>
      <c r="B795">
        <v>5851.2</v>
      </c>
    </row>
    <row r="796" spans="1:2" x14ac:dyDescent="0.25">
      <c r="A796" s="1">
        <v>45588</v>
      </c>
      <c r="B796">
        <v>5797.42</v>
      </c>
    </row>
    <row r="797" spans="1:2" x14ac:dyDescent="0.25">
      <c r="A797" s="1">
        <v>45589</v>
      </c>
      <c r="B797">
        <v>5809.86</v>
      </c>
    </row>
    <row r="798" spans="1:2" x14ac:dyDescent="0.25">
      <c r="A798" s="1">
        <v>45590</v>
      </c>
      <c r="B798">
        <v>5808.12</v>
      </c>
    </row>
    <row r="799" spans="1:2" x14ac:dyDescent="0.25">
      <c r="A799" s="1">
        <v>45593</v>
      </c>
      <c r="B799">
        <v>5823.52</v>
      </c>
    </row>
    <row r="800" spans="1:2" x14ac:dyDescent="0.25">
      <c r="A800" s="1">
        <v>45594</v>
      </c>
      <c r="B800">
        <v>5832.92</v>
      </c>
    </row>
    <row r="801" spans="1:2" x14ac:dyDescent="0.25">
      <c r="A801" s="1">
        <v>45595</v>
      </c>
      <c r="B801">
        <v>5813.67</v>
      </c>
    </row>
    <row r="802" spans="1:2" x14ac:dyDescent="0.25">
      <c r="A802" s="1">
        <v>45596</v>
      </c>
      <c r="B802">
        <v>5705.45</v>
      </c>
    </row>
    <row r="803" spans="1:2" x14ac:dyDescent="0.25">
      <c r="A803" s="1">
        <v>45597</v>
      </c>
      <c r="B803">
        <v>5728.8</v>
      </c>
    </row>
    <row r="804" spans="1:2" x14ac:dyDescent="0.25">
      <c r="A804" s="1">
        <v>45600</v>
      </c>
      <c r="B804">
        <v>5712.69</v>
      </c>
    </row>
    <row r="805" spans="1:2" x14ac:dyDescent="0.25">
      <c r="A805" s="1">
        <v>45601</v>
      </c>
      <c r="B805">
        <v>5782.76</v>
      </c>
    </row>
    <row r="806" spans="1:2" x14ac:dyDescent="0.25">
      <c r="A806" s="1">
        <v>45602</v>
      </c>
      <c r="B806">
        <v>5929.04</v>
      </c>
    </row>
    <row r="807" spans="1:2" x14ac:dyDescent="0.25">
      <c r="A807" s="1">
        <v>45603</v>
      </c>
      <c r="B807">
        <v>5973.1</v>
      </c>
    </row>
    <row r="808" spans="1:2" x14ac:dyDescent="0.25">
      <c r="A808" s="1">
        <v>45604</v>
      </c>
      <c r="B808">
        <v>5995.54</v>
      </c>
    </row>
    <row r="809" spans="1:2" x14ac:dyDescent="0.25">
      <c r="A809" s="1">
        <v>45607</v>
      </c>
      <c r="B809">
        <v>6001.35</v>
      </c>
    </row>
    <row r="810" spans="1:2" x14ac:dyDescent="0.25">
      <c r="A810" s="1">
        <v>45608</v>
      </c>
      <c r="B810">
        <v>5983.99</v>
      </c>
    </row>
    <row r="811" spans="1:2" x14ac:dyDescent="0.25">
      <c r="A811" s="1">
        <v>45609</v>
      </c>
      <c r="B811">
        <v>5985.38</v>
      </c>
    </row>
    <row r="812" spans="1:2" x14ac:dyDescent="0.25">
      <c r="A812" s="1">
        <v>45610</v>
      </c>
      <c r="B812">
        <v>5949.17</v>
      </c>
    </row>
    <row r="813" spans="1:2" x14ac:dyDescent="0.25">
      <c r="A813" s="1">
        <v>45611</v>
      </c>
      <c r="B813">
        <v>5870.62</v>
      </c>
    </row>
    <row r="814" spans="1:2" x14ac:dyDescent="0.25">
      <c r="A814" s="1">
        <v>45614</v>
      </c>
      <c r="B814">
        <v>5893.62</v>
      </c>
    </row>
    <row r="815" spans="1:2" x14ac:dyDescent="0.25">
      <c r="A815" s="1">
        <v>45615</v>
      </c>
      <c r="B815">
        <v>5916.98</v>
      </c>
    </row>
    <row r="816" spans="1:2" x14ac:dyDescent="0.25">
      <c r="A816" s="1">
        <v>45616</v>
      </c>
      <c r="B816">
        <v>5917.11</v>
      </c>
    </row>
    <row r="817" spans="1:2" x14ac:dyDescent="0.25">
      <c r="A817" s="1">
        <v>45617</v>
      </c>
      <c r="B817">
        <v>5948.71</v>
      </c>
    </row>
    <row r="818" spans="1:2" x14ac:dyDescent="0.25">
      <c r="A818" s="1">
        <v>45618</v>
      </c>
      <c r="B818">
        <v>5969.34</v>
      </c>
    </row>
    <row r="819" spans="1:2" x14ac:dyDescent="0.25">
      <c r="A819" s="1">
        <v>45621</v>
      </c>
      <c r="B819">
        <v>5987.37</v>
      </c>
    </row>
    <row r="820" spans="1:2" x14ac:dyDescent="0.25">
      <c r="A820" s="1">
        <v>45622</v>
      </c>
      <c r="B820">
        <v>6021.63</v>
      </c>
    </row>
    <row r="821" spans="1:2" x14ac:dyDescent="0.25">
      <c r="A821" s="1">
        <v>45623</v>
      </c>
      <c r="B821">
        <v>5998.74</v>
      </c>
    </row>
    <row r="822" spans="1:2" x14ac:dyDescent="0.25">
      <c r="A822" s="1">
        <v>45624</v>
      </c>
    </row>
    <row r="823" spans="1:2" x14ac:dyDescent="0.25">
      <c r="A823" s="1">
        <v>45625</v>
      </c>
      <c r="B823">
        <v>6032.38</v>
      </c>
    </row>
    <row r="824" spans="1:2" x14ac:dyDescent="0.25">
      <c r="A824" s="1">
        <v>45628</v>
      </c>
      <c r="B824">
        <v>6047.15</v>
      </c>
    </row>
    <row r="825" spans="1:2" x14ac:dyDescent="0.25">
      <c r="A825" s="1">
        <v>45629</v>
      </c>
      <c r="B825">
        <v>6049.88</v>
      </c>
    </row>
    <row r="826" spans="1:2" x14ac:dyDescent="0.25">
      <c r="A826" s="1">
        <v>45630</v>
      </c>
      <c r="B826">
        <v>6086.49</v>
      </c>
    </row>
    <row r="827" spans="1:2" x14ac:dyDescent="0.25">
      <c r="A827" s="1">
        <v>45631</v>
      </c>
      <c r="B827">
        <v>6075.11</v>
      </c>
    </row>
    <row r="828" spans="1:2" x14ac:dyDescent="0.25">
      <c r="A828" s="1">
        <v>45632</v>
      </c>
      <c r="B828">
        <v>6090.27</v>
      </c>
    </row>
    <row r="829" spans="1:2" x14ac:dyDescent="0.25">
      <c r="A829" s="1">
        <v>45635</v>
      </c>
      <c r="B829">
        <v>6052.85</v>
      </c>
    </row>
    <row r="830" spans="1:2" x14ac:dyDescent="0.25">
      <c r="A830" s="1">
        <v>45636</v>
      </c>
      <c r="B830">
        <v>6034.91</v>
      </c>
    </row>
    <row r="831" spans="1:2" x14ac:dyDescent="0.25">
      <c r="A831" s="1">
        <v>45637</v>
      </c>
      <c r="B831">
        <v>6084.19</v>
      </c>
    </row>
    <row r="832" spans="1:2" x14ac:dyDescent="0.25">
      <c r="A832" s="1">
        <v>45638</v>
      </c>
      <c r="B832">
        <v>6051.25</v>
      </c>
    </row>
    <row r="833" spans="1:2" x14ac:dyDescent="0.25">
      <c r="A833" s="1">
        <v>45639</v>
      </c>
      <c r="B833">
        <v>6051.09</v>
      </c>
    </row>
    <row r="834" spans="1:2" x14ac:dyDescent="0.25">
      <c r="A834" s="1">
        <v>45642</v>
      </c>
      <c r="B834">
        <v>6074.08</v>
      </c>
    </row>
    <row r="835" spans="1:2" x14ac:dyDescent="0.25">
      <c r="A835" s="1">
        <v>45643</v>
      </c>
      <c r="B835">
        <v>6050.61</v>
      </c>
    </row>
    <row r="836" spans="1:2" x14ac:dyDescent="0.25">
      <c r="A836" s="1">
        <v>45644</v>
      </c>
      <c r="B836">
        <v>5872.16</v>
      </c>
    </row>
    <row r="837" spans="1:2" x14ac:dyDescent="0.25">
      <c r="A837" s="1">
        <v>45645</v>
      </c>
      <c r="B837">
        <v>5867.08</v>
      </c>
    </row>
    <row r="838" spans="1:2" x14ac:dyDescent="0.25">
      <c r="A838" s="1">
        <v>45646</v>
      </c>
      <c r="B838">
        <v>5930.85</v>
      </c>
    </row>
    <row r="839" spans="1:2" x14ac:dyDescent="0.25">
      <c r="A839" s="1">
        <v>45649</v>
      </c>
      <c r="B839">
        <v>5974.07</v>
      </c>
    </row>
    <row r="840" spans="1:2" x14ac:dyDescent="0.25">
      <c r="A840" s="1">
        <v>45650</v>
      </c>
      <c r="B840">
        <v>6040.04</v>
      </c>
    </row>
    <row r="841" spans="1:2" x14ac:dyDescent="0.25">
      <c r="A841" s="1">
        <v>45651</v>
      </c>
    </row>
    <row r="842" spans="1:2" x14ac:dyDescent="0.25">
      <c r="A842" s="1">
        <v>45652</v>
      </c>
      <c r="B842">
        <v>6037.59</v>
      </c>
    </row>
    <row r="843" spans="1:2" x14ac:dyDescent="0.25">
      <c r="A843" s="1">
        <v>45653</v>
      </c>
      <c r="B843">
        <v>5970.84</v>
      </c>
    </row>
    <row r="844" spans="1:2" x14ac:dyDescent="0.25">
      <c r="A844" s="1">
        <v>45656</v>
      </c>
      <c r="B844">
        <v>5906.94</v>
      </c>
    </row>
    <row r="845" spans="1:2" x14ac:dyDescent="0.25">
      <c r="A845" s="1">
        <v>45657</v>
      </c>
      <c r="B845">
        <v>5881.63</v>
      </c>
    </row>
    <row r="846" spans="1:2" x14ac:dyDescent="0.25">
      <c r="A846" s="1">
        <v>45658</v>
      </c>
    </row>
    <row r="847" spans="1:2" x14ac:dyDescent="0.25">
      <c r="A847" s="1">
        <v>45659</v>
      </c>
      <c r="B847">
        <v>5868.55</v>
      </c>
    </row>
    <row r="848" spans="1:2" x14ac:dyDescent="0.25">
      <c r="A848" s="1">
        <v>45660</v>
      </c>
      <c r="B848">
        <v>5942.47</v>
      </c>
    </row>
    <row r="849" spans="1:2" x14ac:dyDescent="0.25">
      <c r="A849" s="1">
        <v>45663</v>
      </c>
      <c r="B849">
        <v>5975.38</v>
      </c>
    </row>
    <row r="850" spans="1:2" x14ac:dyDescent="0.25">
      <c r="A850" s="1">
        <v>45664</v>
      </c>
      <c r="B850">
        <v>5909.03</v>
      </c>
    </row>
    <row r="851" spans="1:2" x14ac:dyDescent="0.25">
      <c r="A851" s="1">
        <v>45665</v>
      </c>
      <c r="B851">
        <v>5918.25</v>
      </c>
    </row>
    <row r="852" spans="1:2" x14ac:dyDescent="0.25">
      <c r="A852" s="1">
        <v>45666</v>
      </c>
    </row>
    <row r="853" spans="1:2" x14ac:dyDescent="0.25">
      <c r="A853" s="1">
        <v>45667</v>
      </c>
      <c r="B853">
        <v>5827.04</v>
      </c>
    </row>
    <row r="854" spans="1:2" x14ac:dyDescent="0.25">
      <c r="A854" s="1">
        <v>45670</v>
      </c>
      <c r="B854">
        <v>5836.22</v>
      </c>
    </row>
    <row r="855" spans="1:2" x14ac:dyDescent="0.25">
      <c r="A855" s="1">
        <v>45671</v>
      </c>
      <c r="B855">
        <v>5842.91</v>
      </c>
    </row>
    <row r="856" spans="1:2" x14ac:dyDescent="0.25">
      <c r="A856" s="1">
        <v>45672</v>
      </c>
      <c r="B856">
        <v>5949.91</v>
      </c>
    </row>
    <row r="857" spans="1:2" x14ac:dyDescent="0.25">
      <c r="A857" s="1">
        <v>45673</v>
      </c>
      <c r="B857">
        <v>5937.34</v>
      </c>
    </row>
    <row r="858" spans="1:2" x14ac:dyDescent="0.25">
      <c r="A858" s="1">
        <v>45674</v>
      </c>
      <c r="B858">
        <v>5996.66</v>
      </c>
    </row>
    <row r="859" spans="1:2" x14ac:dyDescent="0.25">
      <c r="A859" s="1">
        <v>45677</v>
      </c>
    </row>
    <row r="860" spans="1:2" x14ac:dyDescent="0.25">
      <c r="A860" s="1">
        <v>45678</v>
      </c>
      <c r="B860">
        <v>6049.24</v>
      </c>
    </row>
    <row r="861" spans="1:2" x14ac:dyDescent="0.25">
      <c r="A861" s="1">
        <v>45679</v>
      </c>
      <c r="B861">
        <v>6086.37</v>
      </c>
    </row>
    <row r="862" spans="1:2" x14ac:dyDescent="0.25">
      <c r="A862" s="1">
        <v>45680</v>
      </c>
      <c r="B862">
        <v>6118.71</v>
      </c>
    </row>
    <row r="863" spans="1:2" x14ac:dyDescent="0.25">
      <c r="A863" s="1">
        <v>45681</v>
      </c>
      <c r="B863">
        <v>6101.24</v>
      </c>
    </row>
    <row r="864" spans="1:2" x14ac:dyDescent="0.25">
      <c r="A864" s="1">
        <v>45684</v>
      </c>
      <c r="B864">
        <v>6012.28</v>
      </c>
    </row>
    <row r="865" spans="1:2" x14ac:dyDescent="0.25">
      <c r="A865" s="1">
        <v>45685</v>
      </c>
      <c r="B865">
        <v>6067.7</v>
      </c>
    </row>
    <row r="866" spans="1:2" x14ac:dyDescent="0.25">
      <c r="A866" s="1">
        <v>45686</v>
      </c>
      <c r="B866">
        <v>6039.31</v>
      </c>
    </row>
    <row r="867" spans="1:2" x14ac:dyDescent="0.25">
      <c r="A867" s="1">
        <v>45687</v>
      </c>
      <c r="B867">
        <v>6071.17</v>
      </c>
    </row>
    <row r="868" spans="1:2" x14ac:dyDescent="0.25">
      <c r="A868" s="1">
        <v>45688</v>
      </c>
      <c r="B868">
        <v>6040.53</v>
      </c>
    </row>
    <row r="869" spans="1:2" x14ac:dyDescent="0.25">
      <c r="A869" s="1">
        <v>45691</v>
      </c>
      <c r="B869">
        <v>5994.57</v>
      </c>
    </row>
    <row r="870" spans="1:2" x14ac:dyDescent="0.25">
      <c r="A870" s="1">
        <v>45692</v>
      </c>
      <c r="B870">
        <v>6037.88</v>
      </c>
    </row>
    <row r="871" spans="1:2" x14ac:dyDescent="0.25">
      <c r="A871" s="1">
        <v>45693</v>
      </c>
      <c r="B871">
        <v>6061.48</v>
      </c>
    </row>
    <row r="872" spans="1:2" x14ac:dyDescent="0.25">
      <c r="A872" s="1">
        <v>45694</v>
      </c>
      <c r="B872">
        <v>6083.57</v>
      </c>
    </row>
    <row r="873" spans="1:2" x14ac:dyDescent="0.25">
      <c r="A873" s="1">
        <v>45695</v>
      </c>
      <c r="B873">
        <v>6025.99</v>
      </c>
    </row>
    <row r="874" spans="1:2" x14ac:dyDescent="0.25">
      <c r="A874" s="1">
        <v>45698</v>
      </c>
      <c r="B874">
        <v>6066.44</v>
      </c>
    </row>
    <row r="875" spans="1:2" x14ac:dyDescent="0.25">
      <c r="A875" s="1">
        <v>45699</v>
      </c>
      <c r="B875">
        <v>6068.5</v>
      </c>
    </row>
    <row r="876" spans="1:2" x14ac:dyDescent="0.25">
      <c r="A876" s="1">
        <v>45700</v>
      </c>
      <c r="B876">
        <v>6051.97</v>
      </c>
    </row>
    <row r="877" spans="1:2" x14ac:dyDescent="0.25">
      <c r="A877" s="1">
        <v>45701</v>
      </c>
      <c r="B877">
        <v>6115.07</v>
      </c>
    </row>
    <row r="878" spans="1:2" x14ac:dyDescent="0.25">
      <c r="A878" s="1">
        <v>45702</v>
      </c>
      <c r="B878">
        <v>6114.63</v>
      </c>
    </row>
    <row r="879" spans="1:2" x14ac:dyDescent="0.25">
      <c r="A879" s="1">
        <v>45705</v>
      </c>
    </row>
    <row r="880" spans="1:2" x14ac:dyDescent="0.25">
      <c r="A880" s="1">
        <v>45706</v>
      </c>
      <c r="B880">
        <v>6129.58</v>
      </c>
    </row>
    <row r="881" spans="1:2" x14ac:dyDescent="0.25">
      <c r="A881" s="1">
        <v>45707</v>
      </c>
      <c r="B881">
        <v>6144.15</v>
      </c>
    </row>
    <row r="882" spans="1:2" x14ac:dyDescent="0.25">
      <c r="A882" s="1">
        <v>45708</v>
      </c>
      <c r="B882">
        <v>6117.52</v>
      </c>
    </row>
    <row r="883" spans="1:2" x14ac:dyDescent="0.25">
      <c r="A883" s="1">
        <v>45709</v>
      </c>
      <c r="B883">
        <v>6013.13</v>
      </c>
    </row>
    <row r="884" spans="1:2" x14ac:dyDescent="0.25">
      <c r="A884" s="1">
        <v>45712</v>
      </c>
      <c r="B884">
        <v>5983.25</v>
      </c>
    </row>
    <row r="885" spans="1:2" x14ac:dyDescent="0.25">
      <c r="A885" s="1">
        <v>45713</v>
      </c>
      <c r="B885">
        <v>5955.25</v>
      </c>
    </row>
    <row r="886" spans="1:2" x14ac:dyDescent="0.25">
      <c r="A886" s="1">
        <v>45714</v>
      </c>
      <c r="B886">
        <v>5956.06</v>
      </c>
    </row>
    <row r="887" spans="1:2" x14ac:dyDescent="0.25">
      <c r="A887" s="1">
        <v>45715</v>
      </c>
      <c r="B887">
        <v>5861.57</v>
      </c>
    </row>
    <row r="888" spans="1:2" x14ac:dyDescent="0.25">
      <c r="A888" s="1">
        <v>45716</v>
      </c>
      <c r="B888">
        <v>5954.5</v>
      </c>
    </row>
    <row r="889" spans="1:2" x14ac:dyDescent="0.25">
      <c r="A889" s="1">
        <v>45719</v>
      </c>
      <c r="B889">
        <v>5849.72</v>
      </c>
    </row>
    <row r="890" spans="1:2" x14ac:dyDescent="0.25">
      <c r="A890" s="1">
        <v>45720</v>
      </c>
      <c r="B890">
        <v>5778.15</v>
      </c>
    </row>
    <row r="891" spans="1:2" x14ac:dyDescent="0.25">
      <c r="A891" s="1">
        <v>45721</v>
      </c>
      <c r="B891">
        <v>5842.63</v>
      </c>
    </row>
    <row r="892" spans="1:2" x14ac:dyDescent="0.25">
      <c r="A892" s="1">
        <v>45722</v>
      </c>
      <c r="B892">
        <v>5738.52</v>
      </c>
    </row>
    <row r="893" spans="1:2" x14ac:dyDescent="0.25">
      <c r="A893" s="1">
        <v>45723</v>
      </c>
      <c r="B893">
        <v>5770.2</v>
      </c>
    </row>
    <row r="894" spans="1:2" x14ac:dyDescent="0.25">
      <c r="A894" s="1">
        <v>45726</v>
      </c>
      <c r="B894">
        <v>5614.56</v>
      </c>
    </row>
    <row r="895" spans="1:2" x14ac:dyDescent="0.25">
      <c r="A895" s="1">
        <v>45727</v>
      </c>
      <c r="B895">
        <v>5572.07</v>
      </c>
    </row>
    <row r="896" spans="1:2" x14ac:dyDescent="0.25">
      <c r="A896" s="1">
        <v>45728</v>
      </c>
      <c r="B896">
        <v>5599.3</v>
      </c>
    </row>
    <row r="897" spans="1:2" x14ac:dyDescent="0.25">
      <c r="A897" s="1">
        <v>45729</v>
      </c>
      <c r="B897">
        <v>5521.52</v>
      </c>
    </row>
    <row r="898" spans="1:2" x14ac:dyDescent="0.25">
      <c r="A898" s="1">
        <v>45730</v>
      </c>
      <c r="B898">
        <v>5638.94</v>
      </c>
    </row>
    <row r="899" spans="1:2" x14ac:dyDescent="0.25">
      <c r="A899" s="1">
        <v>45733</v>
      </c>
      <c r="B899">
        <v>5675.12</v>
      </c>
    </row>
    <row r="900" spans="1:2" x14ac:dyDescent="0.25">
      <c r="A900" s="1">
        <v>45734</v>
      </c>
      <c r="B900">
        <v>5614.66</v>
      </c>
    </row>
    <row r="901" spans="1:2" x14ac:dyDescent="0.25">
      <c r="A901" s="1">
        <v>45735</v>
      </c>
      <c r="B901">
        <v>5675.29</v>
      </c>
    </row>
    <row r="902" spans="1:2" x14ac:dyDescent="0.25">
      <c r="A902" s="1">
        <v>45736</v>
      </c>
      <c r="B902">
        <v>5662.89</v>
      </c>
    </row>
    <row r="903" spans="1:2" x14ac:dyDescent="0.25">
      <c r="A903" s="1">
        <v>45737</v>
      </c>
      <c r="B903">
        <v>5667.56</v>
      </c>
    </row>
    <row r="904" spans="1:2" x14ac:dyDescent="0.25">
      <c r="A904" s="1">
        <v>45740</v>
      </c>
      <c r="B904">
        <v>5767.57</v>
      </c>
    </row>
    <row r="905" spans="1:2" x14ac:dyDescent="0.25">
      <c r="A905" s="1">
        <v>45741</v>
      </c>
      <c r="B905">
        <v>5776.65</v>
      </c>
    </row>
    <row r="906" spans="1:2" x14ac:dyDescent="0.25">
      <c r="A906" s="1">
        <v>45742</v>
      </c>
      <c r="B906">
        <v>5712.2</v>
      </c>
    </row>
    <row r="907" spans="1:2" x14ac:dyDescent="0.25">
      <c r="A907" s="1">
        <v>45743</v>
      </c>
      <c r="B907">
        <v>5693.31</v>
      </c>
    </row>
    <row r="908" spans="1:2" x14ac:dyDescent="0.25">
      <c r="A908" s="1">
        <v>45744</v>
      </c>
      <c r="B908">
        <v>5580.94</v>
      </c>
    </row>
    <row r="909" spans="1:2" x14ac:dyDescent="0.25">
      <c r="A909" s="1">
        <v>45747</v>
      </c>
      <c r="B909">
        <v>5611.85</v>
      </c>
    </row>
    <row r="910" spans="1:2" x14ac:dyDescent="0.25">
      <c r="A910" s="1">
        <v>45748</v>
      </c>
      <c r="B910">
        <v>5633.07</v>
      </c>
    </row>
    <row r="911" spans="1:2" x14ac:dyDescent="0.25">
      <c r="A911" s="1">
        <v>45749</v>
      </c>
      <c r="B911">
        <v>5670.97</v>
      </c>
    </row>
    <row r="912" spans="1:2" x14ac:dyDescent="0.25">
      <c r="A912" s="1">
        <v>45750</v>
      </c>
      <c r="B912">
        <v>5396.52</v>
      </c>
    </row>
    <row r="913" spans="1:2" x14ac:dyDescent="0.25">
      <c r="A913" s="1">
        <v>45751</v>
      </c>
      <c r="B913">
        <v>5074.08</v>
      </c>
    </row>
    <row r="914" spans="1:2" x14ac:dyDescent="0.25">
      <c r="A914" s="1">
        <v>45754</v>
      </c>
      <c r="B914">
        <v>5062.25</v>
      </c>
    </row>
    <row r="915" spans="1:2" x14ac:dyDescent="0.25">
      <c r="A915" s="1">
        <v>45755</v>
      </c>
      <c r="B915">
        <v>4982.7700000000004</v>
      </c>
    </row>
    <row r="916" spans="1:2" x14ac:dyDescent="0.25">
      <c r="A916" s="1">
        <v>45756</v>
      </c>
      <c r="B916">
        <v>5456.9</v>
      </c>
    </row>
    <row r="917" spans="1:2" x14ac:dyDescent="0.25">
      <c r="A917" s="1">
        <v>45757</v>
      </c>
      <c r="B917">
        <v>5268.05</v>
      </c>
    </row>
    <row r="918" spans="1:2" x14ac:dyDescent="0.25">
      <c r="A918" s="1">
        <v>45758</v>
      </c>
      <c r="B918">
        <v>5363.36</v>
      </c>
    </row>
    <row r="919" spans="1:2" x14ac:dyDescent="0.25">
      <c r="A919" s="1">
        <v>45761</v>
      </c>
      <c r="B919">
        <v>5405.97</v>
      </c>
    </row>
    <row r="920" spans="1:2" x14ac:dyDescent="0.25">
      <c r="A920" s="1">
        <v>45762</v>
      </c>
      <c r="B920">
        <v>5396.63</v>
      </c>
    </row>
    <row r="921" spans="1:2" x14ac:dyDescent="0.25">
      <c r="A921" s="1">
        <v>45763</v>
      </c>
      <c r="B921">
        <v>5275.7</v>
      </c>
    </row>
    <row r="922" spans="1:2" x14ac:dyDescent="0.25">
      <c r="A922" s="1">
        <v>45764</v>
      </c>
      <c r="B922">
        <v>5282.7</v>
      </c>
    </row>
    <row r="923" spans="1:2" x14ac:dyDescent="0.25">
      <c r="A923" s="1">
        <v>45765</v>
      </c>
    </row>
    <row r="924" spans="1:2" x14ac:dyDescent="0.25">
      <c r="A924" s="1">
        <v>45768</v>
      </c>
      <c r="B924">
        <v>5158.2</v>
      </c>
    </row>
    <row r="925" spans="1:2" x14ac:dyDescent="0.25">
      <c r="A925" s="1">
        <v>45769</v>
      </c>
      <c r="B925">
        <v>5287.76</v>
      </c>
    </row>
    <row r="926" spans="1:2" x14ac:dyDescent="0.25">
      <c r="A926" s="1">
        <v>45770</v>
      </c>
      <c r="B926">
        <v>5375.86</v>
      </c>
    </row>
    <row r="927" spans="1:2" x14ac:dyDescent="0.25">
      <c r="A927" s="1">
        <v>45771</v>
      </c>
      <c r="B927">
        <v>5484.77</v>
      </c>
    </row>
    <row r="928" spans="1:2" x14ac:dyDescent="0.25">
      <c r="A928" s="1">
        <v>45772</v>
      </c>
      <c r="B928">
        <v>5525.21</v>
      </c>
    </row>
    <row r="929" spans="1:2" x14ac:dyDescent="0.25">
      <c r="A929" s="1">
        <v>45775</v>
      </c>
      <c r="B929">
        <v>5528.75</v>
      </c>
    </row>
    <row r="930" spans="1:2" x14ac:dyDescent="0.25">
      <c r="A930" s="1">
        <v>45776</v>
      </c>
      <c r="B930">
        <v>5560.83</v>
      </c>
    </row>
    <row r="931" spans="1:2" x14ac:dyDescent="0.25">
      <c r="A931" s="1">
        <v>45777</v>
      </c>
      <c r="B931">
        <v>5569.06</v>
      </c>
    </row>
    <row r="932" spans="1:2" x14ac:dyDescent="0.25">
      <c r="A932" s="1">
        <v>45778</v>
      </c>
      <c r="B932">
        <v>5604.14</v>
      </c>
    </row>
    <row r="933" spans="1:2" x14ac:dyDescent="0.25">
      <c r="A933" s="1">
        <v>45779</v>
      </c>
      <c r="B933">
        <v>5686.67</v>
      </c>
    </row>
    <row r="934" spans="1:2" x14ac:dyDescent="0.25">
      <c r="A934" s="1">
        <v>45782</v>
      </c>
      <c r="B934">
        <v>5650.38</v>
      </c>
    </row>
    <row r="935" spans="1:2" x14ac:dyDescent="0.25">
      <c r="A935" s="1">
        <v>45783</v>
      </c>
      <c r="B935">
        <v>5606.91</v>
      </c>
    </row>
    <row r="936" spans="1:2" x14ac:dyDescent="0.25">
      <c r="A936" s="1">
        <v>45784</v>
      </c>
      <c r="B936">
        <v>5631.28</v>
      </c>
    </row>
    <row r="937" spans="1:2" x14ac:dyDescent="0.25">
      <c r="A937" s="1">
        <v>45785</v>
      </c>
      <c r="B937">
        <v>5663.94</v>
      </c>
    </row>
    <row r="938" spans="1:2" x14ac:dyDescent="0.25">
      <c r="A938" s="1">
        <v>45786</v>
      </c>
      <c r="B938">
        <v>5659.91</v>
      </c>
    </row>
    <row r="939" spans="1:2" x14ac:dyDescent="0.25">
      <c r="A939" s="1">
        <v>45789</v>
      </c>
      <c r="B939">
        <v>5844.19</v>
      </c>
    </row>
    <row r="940" spans="1:2" x14ac:dyDescent="0.25">
      <c r="A940" s="1">
        <v>45790</v>
      </c>
      <c r="B940">
        <v>5886.55</v>
      </c>
    </row>
    <row r="941" spans="1:2" x14ac:dyDescent="0.25">
      <c r="A941" s="1">
        <v>45791</v>
      </c>
      <c r="B941">
        <v>5892.58</v>
      </c>
    </row>
    <row r="942" spans="1:2" x14ac:dyDescent="0.25">
      <c r="A942" s="1">
        <v>45792</v>
      </c>
      <c r="B942">
        <v>5916.93</v>
      </c>
    </row>
    <row r="943" spans="1:2" x14ac:dyDescent="0.25">
      <c r="A943" s="1">
        <v>45793</v>
      </c>
      <c r="B943">
        <v>5958.38</v>
      </c>
    </row>
    <row r="944" spans="1:2" x14ac:dyDescent="0.25">
      <c r="A944" s="1">
        <v>45796</v>
      </c>
      <c r="B944">
        <v>5963.6</v>
      </c>
    </row>
    <row r="945" spans="1:2" x14ac:dyDescent="0.25">
      <c r="A945" s="1">
        <v>45797</v>
      </c>
      <c r="B945">
        <v>5940.46</v>
      </c>
    </row>
    <row r="946" spans="1:2" x14ac:dyDescent="0.25">
      <c r="A946" s="1">
        <v>45798</v>
      </c>
      <c r="B946">
        <v>5844.61</v>
      </c>
    </row>
    <row r="947" spans="1:2" x14ac:dyDescent="0.25">
      <c r="A947" s="1">
        <v>45799</v>
      </c>
      <c r="B947">
        <v>5842.01</v>
      </c>
    </row>
    <row r="948" spans="1:2" x14ac:dyDescent="0.25">
      <c r="A948" s="1">
        <v>45800</v>
      </c>
      <c r="B948">
        <v>5802.82</v>
      </c>
    </row>
    <row r="949" spans="1:2" x14ac:dyDescent="0.25">
      <c r="A949" s="1">
        <v>45803</v>
      </c>
    </row>
    <row r="950" spans="1:2" x14ac:dyDescent="0.25">
      <c r="A950" s="1">
        <v>45804</v>
      </c>
      <c r="B950">
        <v>5921.54</v>
      </c>
    </row>
    <row r="951" spans="1:2" x14ac:dyDescent="0.25">
      <c r="A951" s="1">
        <v>45805</v>
      </c>
      <c r="B951">
        <v>5888.55</v>
      </c>
    </row>
    <row r="952" spans="1:2" x14ac:dyDescent="0.25">
      <c r="A952" s="1">
        <v>45806</v>
      </c>
      <c r="B952">
        <v>5912.17</v>
      </c>
    </row>
    <row r="953" spans="1:2" x14ac:dyDescent="0.25">
      <c r="A953" s="1">
        <v>45807</v>
      </c>
      <c r="B953">
        <v>5911.69</v>
      </c>
    </row>
    <row r="954" spans="1:2" x14ac:dyDescent="0.25">
      <c r="A954" s="1">
        <v>45810</v>
      </c>
      <c r="B954">
        <v>5935.94</v>
      </c>
    </row>
    <row r="955" spans="1:2" x14ac:dyDescent="0.25">
      <c r="A955" s="1">
        <v>45811</v>
      </c>
      <c r="B955">
        <v>5970.37</v>
      </c>
    </row>
    <row r="956" spans="1:2" x14ac:dyDescent="0.25">
      <c r="A956" s="1">
        <v>45812</v>
      </c>
      <c r="B956">
        <v>5970.81</v>
      </c>
    </row>
    <row r="957" spans="1:2" x14ac:dyDescent="0.25">
      <c r="A957" s="1">
        <v>45813</v>
      </c>
      <c r="B957">
        <v>5939.3</v>
      </c>
    </row>
    <row r="958" spans="1:2" x14ac:dyDescent="0.25">
      <c r="A958" s="1">
        <v>45814</v>
      </c>
      <c r="B958">
        <v>6000.36</v>
      </c>
    </row>
    <row r="959" spans="1:2" x14ac:dyDescent="0.25">
      <c r="A959" s="1">
        <v>45817</v>
      </c>
      <c r="B959">
        <v>6005.88</v>
      </c>
    </row>
    <row r="960" spans="1:2" x14ac:dyDescent="0.25">
      <c r="A960" s="1">
        <v>45818</v>
      </c>
      <c r="B960">
        <v>6038.81</v>
      </c>
    </row>
    <row r="961" spans="1:2" x14ac:dyDescent="0.25">
      <c r="A961" s="1">
        <v>45819</v>
      </c>
      <c r="B961">
        <v>6022.24</v>
      </c>
    </row>
    <row r="962" spans="1:2" x14ac:dyDescent="0.25">
      <c r="A962" s="1">
        <v>45820</v>
      </c>
      <c r="B962">
        <v>6045.26</v>
      </c>
    </row>
    <row r="963" spans="1:2" x14ac:dyDescent="0.25">
      <c r="A963" s="1">
        <v>45821</v>
      </c>
      <c r="B963">
        <v>5976.97</v>
      </c>
    </row>
    <row r="964" spans="1:2" x14ac:dyDescent="0.25">
      <c r="A964" s="1">
        <v>45824</v>
      </c>
      <c r="B964">
        <v>6033.11</v>
      </c>
    </row>
    <row r="965" spans="1:2" x14ac:dyDescent="0.25">
      <c r="A965" s="1">
        <v>45825</v>
      </c>
      <c r="B965">
        <v>5982.72</v>
      </c>
    </row>
    <row r="966" spans="1:2" x14ac:dyDescent="0.25">
      <c r="A966" s="1">
        <v>45826</v>
      </c>
      <c r="B966">
        <v>5980.87</v>
      </c>
    </row>
    <row r="967" spans="1:2" x14ac:dyDescent="0.25">
      <c r="A967" s="1">
        <v>45827</v>
      </c>
    </row>
    <row r="968" spans="1:2" x14ac:dyDescent="0.25">
      <c r="A968" s="1">
        <v>45828</v>
      </c>
      <c r="B968">
        <v>5967.84</v>
      </c>
    </row>
    <row r="969" spans="1:2" x14ac:dyDescent="0.25">
      <c r="A969" s="1">
        <v>45831</v>
      </c>
      <c r="B969">
        <v>6025.17</v>
      </c>
    </row>
    <row r="970" spans="1:2" x14ac:dyDescent="0.25">
      <c r="A970" s="1">
        <v>45832</v>
      </c>
      <c r="B970">
        <v>6092.18</v>
      </c>
    </row>
    <row r="971" spans="1:2" x14ac:dyDescent="0.25">
      <c r="A971" s="1">
        <v>45833</v>
      </c>
      <c r="B971">
        <v>6092.16</v>
      </c>
    </row>
    <row r="972" spans="1:2" x14ac:dyDescent="0.25">
      <c r="A972" s="1">
        <v>45834</v>
      </c>
      <c r="B972">
        <v>6141.02</v>
      </c>
    </row>
    <row r="973" spans="1:2" x14ac:dyDescent="0.25">
      <c r="A973" s="1">
        <v>45835</v>
      </c>
      <c r="B973">
        <v>6173.07</v>
      </c>
    </row>
    <row r="974" spans="1:2" x14ac:dyDescent="0.25">
      <c r="A974" s="1">
        <v>45838</v>
      </c>
      <c r="B974">
        <v>6204.95</v>
      </c>
    </row>
    <row r="975" spans="1:2" x14ac:dyDescent="0.25">
      <c r="A975" s="1">
        <v>45839</v>
      </c>
      <c r="B975">
        <v>6198.01</v>
      </c>
    </row>
    <row r="976" spans="1:2" x14ac:dyDescent="0.25">
      <c r="A976" s="1">
        <v>45840</v>
      </c>
      <c r="B976">
        <v>6227.42</v>
      </c>
    </row>
    <row r="977" spans="1:2" x14ac:dyDescent="0.25">
      <c r="A977" s="1">
        <v>45841</v>
      </c>
      <c r="B977">
        <v>6279.35</v>
      </c>
    </row>
    <row r="978" spans="1:2" x14ac:dyDescent="0.25">
      <c r="A978" s="1">
        <v>45842</v>
      </c>
    </row>
    <row r="979" spans="1:2" x14ac:dyDescent="0.25">
      <c r="A979" s="1">
        <v>45845</v>
      </c>
      <c r="B979">
        <v>6229.98</v>
      </c>
    </row>
    <row r="980" spans="1:2" x14ac:dyDescent="0.25">
      <c r="A980" s="1">
        <v>45846</v>
      </c>
      <c r="B980">
        <v>6225.52</v>
      </c>
    </row>
    <row r="981" spans="1:2" x14ac:dyDescent="0.25">
      <c r="A981" s="1">
        <v>45847</v>
      </c>
      <c r="B981">
        <v>6263.26</v>
      </c>
    </row>
    <row r="982" spans="1:2" x14ac:dyDescent="0.25">
      <c r="A982" s="1">
        <v>45848</v>
      </c>
      <c r="B982">
        <v>6280.46</v>
      </c>
    </row>
    <row r="983" spans="1:2" x14ac:dyDescent="0.25">
      <c r="A983" s="1">
        <v>45849</v>
      </c>
      <c r="B983">
        <v>6259.75</v>
      </c>
    </row>
    <row r="984" spans="1:2" x14ac:dyDescent="0.25">
      <c r="A984" s="1">
        <v>45852</v>
      </c>
      <c r="B984">
        <v>6268.56</v>
      </c>
    </row>
    <row r="985" spans="1:2" x14ac:dyDescent="0.25">
      <c r="A985" s="1">
        <v>45853</v>
      </c>
      <c r="B985">
        <v>6243.76</v>
      </c>
    </row>
    <row r="986" spans="1:2" x14ac:dyDescent="0.25">
      <c r="A986" s="1">
        <v>45854</v>
      </c>
      <c r="B986">
        <v>6263.7</v>
      </c>
    </row>
    <row r="987" spans="1:2" x14ac:dyDescent="0.25">
      <c r="A987" s="1">
        <v>45855</v>
      </c>
      <c r="B987">
        <v>6297.36</v>
      </c>
    </row>
    <row r="988" spans="1:2" x14ac:dyDescent="0.25">
      <c r="A988" s="1">
        <v>45856</v>
      </c>
      <c r="B988">
        <v>6296.79</v>
      </c>
    </row>
    <row r="989" spans="1:2" x14ac:dyDescent="0.25">
      <c r="A989" s="1">
        <v>45859</v>
      </c>
      <c r="B989">
        <v>6305.6</v>
      </c>
    </row>
    <row r="990" spans="1:2" x14ac:dyDescent="0.25">
      <c r="A990" s="1">
        <v>45860</v>
      </c>
      <c r="B990">
        <v>6309.62</v>
      </c>
    </row>
    <row r="991" spans="1:2" x14ac:dyDescent="0.25">
      <c r="A991" s="1">
        <v>45861</v>
      </c>
      <c r="B991">
        <v>6358.91</v>
      </c>
    </row>
    <row r="992" spans="1:2" x14ac:dyDescent="0.25">
      <c r="A992" s="1">
        <v>45862</v>
      </c>
      <c r="B992">
        <v>6363.35</v>
      </c>
    </row>
    <row r="993" spans="1:2" x14ac:dyDescent="0.25">
      <c r="A993" s="1">
        <v>45863</v>
      </c>
      <c r="B993">
        <v>6388.64</v>
      </c>
    </row>
    <row r="994" spans="1:2" x14ac:dyDescent="0.25">
      <c r="A994" s="1">
        <v>45866</v>
      </c>
      <c r="B994">
        <v>6389.77</v>
      </c>
    </row>
    <row r="995" spans="1:2" x14ac:dyDescent="0.25">
      <c r="A995" s="1">
        <v>45867</v>
      </c>
      <c r="B995">
        <v>6370.86</v>
      </c>
    </row>
    <row r="996" spans="1:2" x14ac:dyDescent="0.25">
      <c r="A996" s="1">
        <v>45868</v>
      </c>
      <c r="B996">
        <v>6362.9</v>
      </c>
    </row>
    <row r="997" spans="1:2" x14ac:dyDescent="0.25">
      <c r="A997" s="1">
        <v>45869</v>
      </c>
      <c r="B997">
        <v>6339.39</v>
      </c>
    </row>
    <row r="998" spans="1:2" x14ac:dyDescent="0.25">
      <c r="A998" s="1">
        <v>45870</v>
      </c>
      <c r="B998">
        <v>6238.01</v>
      </c>
    </row>
    <row r="999" spans="1:2" x14ac:dyDescent="0.25">
      <c r="A999" s="1">
        <v>45873</v>
      </c>
      <c r="B999">
        <v>6329.94</v>
      </c>
    </row>
    <row r="1000" spans="1:2" x14ac:dyDescent="0.25">
      <c r="A1000" s="1">
        <v>45874</v>
      </c>
      <c r="B1000">
        <v>6299.19</v>
      </c>
    </row>
    <row r="1001" spans="1:2" x14ac:dyDescent="0.25">
      <c r="A1001" s="1">
        <v>45875</v>
      </c>
      <c r="B1001">
        <v>6345.06</v>
      </c>
    </row>
    <row r="1002" spans="1:2" x14ac:dyDescent="0.25">
      <c r="A1002" s="1">
        <v>45876</v>
      </c>
      <c r="B1002">
        <v>6340</v>
      </c>
    </row>
    <row r="1003" spans="1:2" x14ac:dyDescent="0.25">
      <c r="A1003" s="1">
        <v>45877</v>
      </c>
      <c r="B1003">
        <v>6389.45</v>
      </c>
    </row>
    <row r="1004" spans="1:2" x14ac:dyDescent="0.25">
      <c r="A1004" s="1">
        <v>45880</v>
      </c>
      <c r="B1004">
        <v>6373.45</v>
      </c>
    </row>
    <row r="1005" spans="1:2" x14ac:dyDescent="0.25">
      <c r="A1005" s="1">
        <v>45881</v>
      </c>
      <c r="B1005">
        <v>6445.76</v>
      </c>
    </row>
    <row r="1006" spans="1:2" x14ac:dyDescent="0.25">
      <c r="A1006" s="1">
        <v>45882</v>
      </c>
      <c r="B1006">
        <v>6466.58</v>
      </c>
    </row>
    <row r="1007" spans="1:2" x14ac:dyDescent="0.25">
      <c r="A1007" s="1">
        <v>45883</v>
      </c>
      <c r="B1007">
        <v>6468.54</v>
      </c>
    </row>
    <row r="1008" spans="1:2" x14ac:dyDescent="0.25">
      <c r="A1008" s="1">
        <v>45884</v>
      </c>
      <c r="B1008">
        <v>6449.8</v>
      </c>
    </row>
    <row r="1009" spans="1:2" x14ac:dyDescent="0.25">
      <c r="A1009" s="1">
        <v>45887</v>
      </c>
      <c r="B1009">
        <v>6449.15</v>
      </c>
    </row>
    <row r="1010" spans="1:2" x14ac:dyDescent="0.25">
      <c r="A1010" s="1">
        <v>45888</v>
      </c>
      <c r="B1010">
        <v>6411.37</v>
      </c>
    </row>
    <row r="1011" spans="1:2" x14ac:dyDescent="0.25">
      <c r="A1011" s="1">
        <v>45889</v>
      </c>
      <c r="B1011">
        <v>6395.78</v>
      </c>
    </row>
    <row r="1012" spans="1:2" x14ac:dyDescent="0.25">
      <c r="A1012" s="1">
        <v>45890</v>
      </c>
      <c r="B1012">
        <v>6370.17</v>
      </c>
    </row>
    <row r="1013" spans="1:2" x14ac:dyDescent="0.25">
      <c r="A1013" s="1">
        <v>45891</v>
      </c>
      <c r="B1013">
        <v>6466.91</v>
      </c>
    </row>
    <row r="1014" spans="1:2" x14ac:dyDescent="0.25">
      <c r="A1014" s="1">
        <v>45894</v>
      </c>
      <c r="B1014">
        <v>6439.32</v>
      </c>
    </row>
    <row r="1015" spans="1:2" x14ac:dyDescent="0.25">
      <c r="A1015" s="1">
        <v>45895</v>
      </c>
      <c r="B1015">
        <v>6465.94</v>
      </c>
    </row>
    <row r="1016" spans="1:2" x14ac:dyDescent="0.25">
      <c r="A1016" s="1">
        <v>45896</v>
      </c>
      <c r="B1016">
        <v>6481.4</v>
      </c>
    </row>
    <row r="1017" spans="1:2" x14ac:dyDescent="0.25">
      <c r="A1017" s="1">
        <v>45897</v>
      </c>
      <c r="B1017">
        <v>6501.86</v>
      </c>
    </row>
    <row r="1018" spans="1:2" x14ac:dyDescent="0.25">
      <c r="A1018" s="1">
        <v>45898</v>
      </c>
      <c r="B1018">
        <v>6460.26</v>
      </c>
    </row>
    <row r="1019" spans="1:2" x14ac:dyDescent="0.25">
      <c r="A1019" s="1">
        <v>45901</v>
      </c>
    </row>
    <row r="1020" spans="1:2" x14ac:dyDescent="0.25">
      <c r="A1020" s="1">
        <v>45902</v>
      </c>
      <c r="B1020">
        <v>6415.54</v>
      </c>
    </row>
    <row r="1021" spans="1:2" x14ac:dyDescent="0.25">
      <c r="A1021" s="1">
        <v>45903</v>
      </c>
      <c r="B1021">
        <v>6448.26</v>
      </c>
    </row>
    <row r="1022" spans="1:2" x14ac:dyDescent="0.25">
      <c r="A1022" s="1">
        <v>45904</v>
      </c>
      <c r="B1022">
        <v>6502.08</v>
      </c>
    </row>
    <row r="1023" spans="1:2" x14ac:dyDescent="0.25">
      <c r="A1023" s="1">
        <v>45905</v>
      </c>
      <c r="B1023">
        <v>6481.5</v>
      </c>
    </row>
    <row r="1024" spans="1:2" x14ac:dyDescent="0.25">
      <c r="A1024" s="1">
        <v>45908</v>
      </c>
      <c r="B1024">
        <v>6495.15</v>
      </c>
    </row>
    <row r="1025" spans="1:2" x14ac:dyDescent="0.25">
      <c r="A1025" s="1">
        <v>45909</v>
      </c>
      <c r="B1025">
        <v>6512.61</v>
      </c>
    </row>
    <row r="1026" spans="1:2" x14ac:dyDescent="0.25">
      <c r="A1026" s="1">
        <v>45910</v>
      </c>
      <c r="B1026">
        <v>6532.04</v>
      </c>
    </row>
    <row r="1027" spans="1:2" x14ac:dyDescent="0.25">
      <c r="A1027" s="1">
        <v>45911</v>
      </c>
      <c r="B1027">
        <v>6587.47</v>
      </c>
    </row>
    <row r="1028" spans="1:2" x14ac:dyDescent="0.25">
      <c r="A1028" s="1">
        <v>45912</v>
      </c>
      <c r="B1028">
        <v>6584.29</v>
      </c>
    </row>
    <row r="1029" spans="1:2" x14ac:dyDescent="0.25">
      <c r="A1029" s="1">
        <v>45915</v>
      </c>
      <c r="B1029">
        <v>6615.28</v>
      </c>
    </row>
    <row r="1030" spans="1:2" x14ac:dyDescent="0.25">
      <c r="A1030" s="1">
        <v>45916</v>
      </c>
      <c r="B1030">
        <v>6606.76</v>
      </c>
    </row>
    <row r="1031" spans="1:2" x14ac:dyDescent="0.25">
      <c r="A1031" s="1">
        <v>45917</v>
      </c>
      <c r="B1031">
        <v>6600.35</v>
      </c>
    </row>
    <row r="1032" spans="1:2" x14ac:dyDescent="0.25">
      <c r="A1032" s="1">
        <v>45918</v>
      </c>
      <c r="B1032">
        <v>6631.96</v>
      </c>
    </row>
    <row r="1033" spans="1:2" x14ac:dyDescent="0.25">
      <c r="A1033" s="1">
        <v>45919</v>
      </c>
      <c r="B1033">
        <v>6664.36</v>
      </c>
    </row>
    <row r="1034" spans="1:2" x14ac:dyDescent="0.25">
      <c r="A1034" s="1">
        <v>45922</v>
      </c>
      <c r="B1034">
        <v>6693.75</v>
      </c>
    </row>
    <row r="1035" spans="1:2" x14ac:dyDescent="0.25">
      <c r="A1035" s="1">
        <v>45923</v>
      </c>
      <c r="B1035">
        <v>6656.92</v>
      </c>
    </row>
    <row r="1036" spans="1:2" x14ac:dyDescent="0.25">
      <c r="A1036" s="1">
        <v>45924</v>
      </c>
      <c r="B1036">
        <v>6637.97</v>
      </c>
    </row>
    <row r="1037" spans="1:2" x14ac:dyDescent="0.25">
      <c r="A1037" s="1">
        <v>45925</v>
      </c>
      <c r="B1037">
        <v>6604.72</v>
      </c>
    </row>
    <row r="1038" spans="1:2" x14ac:dyDescent="0.25">
      <c r="A1038" s="1">
        <v>45926</v>
      </c>
      <c r="B1038">
        <v>6643.7</v>
      </c>
    </row>
    <row r="1039" spans="1:2" x14ac:dyDescent="0.25">
      <c r="A1039" s="1">
        <v>45929</v>
      </c>
      <c r="B1039">
        <v>6661.21</v>
      </c>
    </row>
    <row r="1040" spans="1:2" x14ac:dyDescent="0.25">
      <c r="A1040" s="1">
        <v>45930</v>
      </c>
      <c r="B1040">
        <v>6688.46</v>
      </c>
    </row>
    <row r="1041" spans="1:2" x14ac:dyDescent="0.25">
      <c r="A1041" s="1">
        <v>45931</v>
      </c>
      <c r="B1041">
        <v>6711.2</v>
      </c>
    </row>
    <row r="1042" spans="1:2" x14ac:dyDescent="0.25">
      <c r="A1042" s="1">
        <v>45932</v>
      </c>
      <c r="B1042">
        <v>6715.35</v>
      </c>
    </row>
    <row r="1043" spans="1:2" x14ac:dyDescent="0.25">
      <c r="A1043" s="1">
        <v>45933</v>
      </c>
      <c r="B1043">
        <v>6715.79</v>
      </c>
    </row>
    <row r="1044" spans="1:2" x14ac:dyDescent="0.25">
      <c r="A1044" s="1">
        <v>45936</v>
      </c>
      <c r="B1044">
        <v>6740.28</v>
      </c>
    </row>
    <row r="1045" spans="1:2" x14ac:dyDescent="0.25">
      <c r="A1045" s="1">
        <v>45937</v>
      </c>
      <c r="B1045">
        <v>6714.59</v>
      </c>
    </row>
    <row r="1046" spans="1:2" x14ac:dyDescent="0.25">
      <c r="A1046" s="1">
        <v>45938</v>
      </c>
      <c r="B1046">
        <v>6753.72</v>
      </c>
    </row>
    <row r="1047" spans="1:2" x14ac:dyDescent="0.25">
      <c r="A1047" s="1">
        <v>45939</v>
      </c>
      <c r="B1047">
        <v>6735.11</v>
      </c>
    </row>
    <row r="1048" spans="1:2" x14ac:dyDescent="0.25">
      <c r="A1048" s="1">
        <v>45940</v>
      </c>
      <c r="B1048">
        <v>6552.51</v>
      </c>
    </row>
    <row r="1049" spans="1:2" x14ac:dyDescent="0.25">
      <c r="A1049" s="1">
        <v>45943</v>
      </c>
      <c r="B1049">
        <v>6654.72</v>
      </c>
    </row>
    <row r="1050" spans="1:2" x14ac:dyDescent="0.25">
      <c r="A1050" s="1">
        <v>45944</v>
      </c>
      <c r="B1050">
        <v>6644.31</v>
      </c>
    </row>
    <row r="1051" spans="1:2" x14ac:dyDescent="0.25">
      <c r="A1051" s="1">
        <v>45945</v>
      </c>
      <c r="B1051">
        <v>6671.06</v>
      </c>
    </row>
    <row r="1052" spans="1:2" x14ac:dyDescent="0.25">
      <c r="A1052" s="1">
        <v>45946</v>
      </c>
      <c r="B1052">
        <v>6629.07</v>
      </c>
    </row>
    <row r="1053" spans="1:2" x14ac:dyDescent="0.25">
      <c r="A1053" s="1">
        <v>45947</v>
      </c>
      <c r="B1053">
        <v>6664.01</v>
      </c>
    </row>
    <row r="1054" spans="1:2" x14ac:dyDescent="0.25">
      <c r="A1054" s="1">
        <v>45950</v>
      </c>
      <c r="B1054">
        <v>6735.13</v>
      </c>
    </row>
    <row r="1055" spans="1:2" x14ac:dyDescent="0.25">
      <c r="A1055" s="1">
        <v>45951</v>
      </c>
      <c r="B1055">
        <v>6735.35</v>
      </c>
    </row>
    <row r="1056" spans="1:2" x14ac:dyDescent="0.25">
      <c r="A1056" s="1">
        <v>45952</v>
      </c>
      <c r="B1056">
        <v>6699.4</v>
      </c>
    </row>
    <row r="1057" spans="1:2" x14ac:dyDescent="0.25">
      <c r="A1057" s="1">
        <v>45953</v>
      </c>
      <c r="B1057">
        <v>6738.44</v>
      </c>
    </row>
    <row r="1058" spans="1:2" x14ac:dyDescent="0.25">
      <c r="A1058" s="1">
        <v>45954</v>
      </c>
      <c r="B1058">
        <v>6791.69</v>
      </c>
    </row>
    <row r="1059" spans="1:2" x14ac:dyDescent="0.25">
      <c r="A1059" s="1">
        <v>45957</v>
      </c>
      <c r="B1059">
        <v>6875.16</v>
      </c>
    </row>
    <row r="1060" spans="1:2" x14ac:dyDescent="0.25">
      <c r="A1060" s="1">
        <v>45958</v>
      </c>
      <c r="B1060">
        <v>6890.89</v>
      </c>
    </row>
    <row r="1061" spans="1:2" x14ac:dyDescent="0.25">
      <c r="A1061" s="1">
        <v>45959</v>
      </c>
      <c r="B1061">
        <v>6890.59</v>
      </c>
    </row>
    <row r="1062" spans="1:2" x14ac:dyDescent="0.25">
      <c r="A1062" s="1">
        <v>45960</v>
      </c>
      <c r="B1062">
        <v>6822.34</v>
      </c>
    </row>
    <row r="1063" spans="1:2" x14ac:dyDescent="0.25">
      <c r="A1063" s="1">
        <v>45961</v>
      </c>
      <c r="B1063">
        <v>6840.2</v>
      </c>
    </row>
    <row r="1064" spans="1:2" x14ac:dyDescent="0.25">
      <c r="A1064" s="1">
        <v>45964</v>
      </c>
      <c r="B1064">
        <v>6851.97</v>
      </c>
    </row>
    <row r="1065" spans="1:2" x14ac:dyDescent="0.25">
      <c r="A1065" s="1">
        <v>45965</v>
      </c>
      <c r="B1065">
        <v>6771.55</v>
      </c>
    </row>
    <row r="1066" spans="1:2" x14ac:dyDescent="0.25">
      <c r="A1066" s="1">
        <v>45966</v>
      </c>
      <c r="B1066">
        <v>6796.29</v>
      </c>
    </row>
    <row r="1067" spans="1:2" x14ac:dyDescent="0.25">
      <c r="A1067" s="1">
        <v>45967</v>
      </c>
      <c r="B1067">
        <v>6720.32</v>
      </c>
    </row>
    <row r="1068" spans="1:2" x14ac:dyDescent="0.25">
      <c r="A1068" s="1">
        <v>45968</v>
      </c>
      <c r="B1068">
        <v>6728.8</v>
      </c>
    </row>
    <row r="1069" spans="1:2" x14ac:dyDescent="0.25">
      <c r="A1069" s="1">
        <v>45971</v>
      </c>
      <c r="B1069">
        <v>6832.43</v>
      </c>
    </row>
    <row r="1070" spans="1:2" x14ac:dyDescent="0.25">
      <c r="A1070" s="1">
        <v>45972</v>
      </c>
      <c r="B1070">
        <v>6846.61</v>
      </c>
    </row>
    <row r="1071" spans="1:2" x14ac:dyDescent="0.25">
      <c r="A1071" s="1">
        <v>45973</v>
      </c>
      <c r="B1071">
        <v>6850.92</v>
      </c>
    </row>
    <row r="1072" spans="1:2" x14ac:dyDescent="0.25">
      <c r="A1072" s="1">
        <v>45974</v>
      </c>
      <c r="B1072">
        <v>6737.49</v>
      </c>
    </row>
    <row r="1073" spans="1:2" x14ac:dyDescent="0.25">
      <c r="A1073" s="1">
        <v>45975</v>
      </c>
      <c r="B1073">
        <v>6734.11</v>
      </c>
    </row>
    <row r="1074" spans="1:2" x14ac:dyDescent="0.25">
      <c r="A1074" s="1">
        <v>45978</v>
      </c>
      <c r="B1074">
        <v>6672.41</v>
      </c>
    </row>
    <row r="1075" spans="1:2" x14ac:dyDescent="0.25">
      <c r="A1075" s="1">
        <v>45979</v>
      </c>
      <c r="B1075">
        <v>6617.32</v>
      </c>
    </row>
    <row r="1076" spans="1:2" x14ac:dyDescent="0.25">
      <c r="A1076" s="1">
        <v>45980</v>
      </c>
      <c r="B1076">
        <v>6642.16</v>
      </c>
    </row>
    <row r="1077" spans="1:2" x14ac:dyDescent="0.25">
      <c r="A1077" s="1">
        <v>45981</v>
      </c>
      <c r="B1077">
        <v>6538.76</v>
      </c>
    </row>
    <row r="1078" spans="1:2" x14ac:dyDescent="0.25">
      <c r="A1078" s="1">
        <v>45982</v>
      </c>
      <c r="B1078">
        <v>6602.99</v>
      </c>
    </row>
    <row r="1079" spans="1:2" x14ac:dyDescent="0.25">
      <c r="A1079" s="1">
        <v>45985</v>
      </c>
      <c r="B1079">
        <v>6705.12</v>
      </c>
    </row>
    <row r="1080" spans="1:2" x14ac:dyDescent="0.25">
      <c r="A1080" s="1">
        <v>45986</v>
      </c>
      <c r="B1080">
        <v>6765.88</v>
      </c>
    </row>
    <row r="1081" spans="1:2" x14ac:dyDescent="0.25">
      <c r="A1081" s="1">
        <v>45987</v>
      </c>
      <c r="B1081">
        <v>6812.61</v>
      </c>
    </row>
    <row r="1082" spans="1:2" x14ac:dyDescent="0.25">
      <c r="A1082" s="1">
        <v>45988</v>
      </c>
    </row>
    <row r="1083" spans="1:2" x14ac:dyDescent="0.25">
      <c r="A1083" s="1">
        <v>45989</v>
      </c>
      <c r="B1083">
        <v>6849.09</v>
      </c>
    </row>
    <row r="1084" spans="1:2" x14ac:dyDescent="0.25">
      <c r="A1084" s="1">
        <v>45992</v>
      </c>
      <c r="B1084">
        <v>6812.63</v>
      </c>
    </row>
    <row r="1085" spans="1:2" x14ac:dyDescent="0.25">
      <c r="A1085" s="1">
        <v>45993</v>
      </c>
      <c r="B1085">
        <v>6829.37</v>
      </c>
    </row>
    <row r="1086" spans="1:2" x14ac:dyDescent="0.25">
      <c r="A1086" s="1">
        <v>45994</v>
      </c>
      <c r="B1086">
        <v>6849.72</v>
      </c>
    </row>
    <row r="1087" spans="1:2" x14ac:dyDescent="0.25">
      <c r="A1087" s="1">
        <v>45995</v>
      </c>
      <c r="B1087">
        <v>6857.12</v>
      </c>
    </row>
    <row r="1088" spans="1:2" x14ac:dyDescent="0.25">
      <c r="A1088" s="1">
        <v>45996</v>
      </c>
      <c r="B1088">
        <v>6870.4</v>
      </c>
    </row>
    <row r="1089" spans="1:2" x14ac:dyDescent="0.25">
      <c r="A1089" s="1">
        <v>45999</v>
      </c>
      <c r="B1089">
        <v>6846.51</v>
      </c>
    </row>
    <row r="1090" spans="1:2" x14ac:dyDescent="0.25">
      <c r="A1090" s="1">
        <v>46000</v>
      </c>
      <c r="B1090">
        <v>6840.51</v>
      </c>
    </row>
    <row r="1091" spans="1:2" x14ac:dyDescent="0.25">
      <c r="A1091" s="1">
        <v>46001</v>
      </c>
      <c r="B1091">
        <v>6886.68</v>
      </c>
    </row>
    <row r="1092" spans="1:2" x14ac:dyDescent="0.25">
      <c r="A1092" s="1">
        <v>46002</v>
      </c>
      <c r="B1092">
        <v>6901</v>
      </c>
    </row>
    <row r="1093" spans="1:2" x14ac:dyDescent="0.25">
      <c r="A1093" s="1">
        <v>46003</v>
      </c>
      <c r="B1093">
        <v>6827.41</v>
      </c>
    </row>
    <row r="1094" spans="1:2" x14ac:dyDescent="0.25">
      <c r="A1094" s="1">
        <v>46006</v>
      </c>
      <c r="B1094">
        <v>6816.51</v>
      </c>
    </row>
    <row r="1095" spans="1:2" x14ac:dyDescent="0.25">
      <c r="A1095" s="1">
        <v>46007</v>
      </c>
      <c r="B1095">
        <v>6800.26</v>
      </c>
    </row>
    <row r="1096" spans="1:2" x14ac:dyDescent="0.25">
      <c r="A1096" s="1">
        <v>46008</v>
      </c>
      <c r="B1096">
        <v>6721.43</v>
      </c>
    </row>
    <row r="1097" spans="1:2" x14ac:dyDescent="0.25">
      <c r="A1097" s="1">
        <v>46009</v>
      </c>
      <c r="B1097">
        <v>6774.76</v>
      </c>
    </row>
    <row r="1098" spans="1:2" x14ac:dyDescent="0.25">
      <c r="A1098" s="1">
        <v>46010</v>
      </c>
      <c r="B1098">
        <v>6834.5</v>
      </c>
    </row>
    <row r="1099" spans="1:2" x14ac:dyDescent="0.25">
      <c r="A1099" s="1">
        <v>46013</v>
      </c>
      <c r="B1099">
        <v>6878.49</v>
      </c>
    </row>
    <row r="1100" spans="1:2" x14ac:dyDescent="0.25">
      <c r="A1100" s="1">
        <v>46014</v>
      </c>
      <c r="B1100">
        <v>6909.79</v>
      </c>
    </row>
    <row r="1101" spans="1:2" x14ac:dyDescent="0.25">
      <c r="A1101" s="1">
        <v>46015</v>
      </c>
      <c r="B1101">
        <v>6932.05</v>
      </c>
    </row>
    <row r="1102" spans="1:2" x14ac:dyDescent="0.25">
      <c r="A1102" s="1">
        <v>46016</v>
      </c>
    </row>
    <row r="1103" spans="1:2" x14ac:dyDescent="0.25">
      <c r="A1103" s="1">
        <v>46017</v>
      </c>
      <c r="B1103">
        <v>6929.94</v>
      </c>
    </row>
    <row r="1104" spans="1:2" x14ac:dyDescent="0.25">
      <c r="A1104" s="1">
        <v>46020</v>
      </c>
      <c r="B1104">
        <v>6905.74</v>
      </c>
    </row>
    <row r="1105" spans="1:2" x14ac:dyDescent="0.25">
      <c r="A1105" s="1">
        <v>46021</v>
      </c>
      <c r="B1105">
        <v>6896.24</v>
      </c>
    </row>
    <row r="1106" spans="1:2" x14ac:dyDescent="0.25">
      <c r="A1106" s="1">
        <v>46022</v>
      </c>
      <c r="B1106">
        <v>6845.5</v>
      </c>
    </row>
    <row r="1107" spans="1:2" x14ac:dyDescent="0.25">
      <c r="A1107" s="1">
        <v>46023</v>
      </c>
    </row>
    <row r="1108" spans="1:2" x14ac:dyDescent="0.25">
      <c r="A1108" s="1">
        <v>46024</v>
      </c>
      <c r="B1108">
        <v>6858.47</v>
      </c>
    </row>
    <row r="1109" spans="1:2" x14ac:dyDescent="0.25">
      <c r="A1109" s="1">
        <v>46027</v>
      </c>
      <c r="B1109">
        <v>6902.05</v>
      </c>
    </row>
    <row r="1110" spans="1:2" x14ac:dyDescent="0.25">
      <c r="A1110" s="1">
        <v>46028</v>
      </c>
      <c r="B1110">
        <v>6944.82</v>
      </c>
    </row>
    <row r="1111" spans="1:2" x14ac:dyDescent="0.25">
      <c r="A1111" s="1">
        <v>46029</v>
      </c>
      <c r="B1111">
        <v>6920.93</v>
      </c>
    </row>
    <row r="1112" spans="1:2" x14ac:dyDescent="0.25">
      <c r="A1112" s="1">
        <v>46030</v>
      </c>
      <c r="B1112">
        <v>6921.46</v>
      </c>
    </row>
    <row r="1113" spans="1:2" x14ac:dyDescent="0.25">
      <c r="A1113" s="1">
        <v>46031</v>
      </c>
      <c r="B1113">
        <v>6966.28</v>
      </c>
    </row>
    <row r="1114" spans="1:2" x14ac:dyDescent="0.25">
      <c r="A1114" s="1">
        <v>46034</v>
      </c>
      <c r="B1114">
        <v>6977.27</v>
      </c>
    </row>
    <row r="1115" spans="1:2" x14ac:dyDescent="0.25">
      <c r="A1115" s="1">
        <v>46035</v>
      </c>
      <c r="B1115">
        <v>6963.74</v>
      </c>
    </row>
    <row r="1116" spans="1:2" x14ac:dyDescent="0.25">
      <c r="A1116" s="1">
        <v>46036</v>
      </c>
      <c r="B1116">
        <v>6926.6</v>
      </c>
    </row>
    <row r="1117" spans="1:2" x14ac:dyDescent="0.25">
      <c r="A1117" s="1">
        <v>46037</v>
      </c>
      <c r="B1117">
        <v>6944.47</v>
      </c>
    </row>
    <row r="1118" spans="1:2" x14ac:dyDescent="0.25">
      <c r="A1118" s="1">
        <v>46038</v>
      </c>
      <c r="B1118">
        <v>6940.01</v>
      </c>
    </row>
    <row r="1119" spans="1:2" x14ac:dyDescent="0.25">
      <c r="A1119" s="1">
        <v>46041</v>
      </c>
    </row>
    <row r="1120" spans="1:2" x14ac:dyDescent="0.25">
      <c r="A1120" s="1">
        <v>46042</v>
      </c>
      <c r="B1120">
        <v>6796.86</v>
      </c>
    </row>
    <row r="1121" spans="1:2" x14ac:dyDescent="0.25">
      <c r="A1121" s="1">
        <v>46043</v>
      </c>
      <c r="B1121">
        <v>6875.62</v>
      </c>
    </row>
    <row r="1122" spans="1:2" x14ac:dyDescent="0.25">
      <c r="A1122" s="1">
        <v>46044</v>
      </c>
      <c r="B1122">
        <v>6913.35</v>
      </c>
    </row>
    <row r="1123" spans="1:2" x14ac:dyDescent="0.25">
      <c r="A1123" s="1">
        <v>46045</v>
      </c>
      <c r="B1123">
        <v>6915.61</v>
      </c>
    </row>
    <row r="1124" spans="1:2" x14ac:dyDescent="0.25">
      <c r="A1124" s="1">
        <v>46048</v>
      </c>
      <c r="B1124">
        <v>6950.23</v>
      </c>
    </row>
    <row r="1125" spans="1:2" x14ac:dyDescent="0.25">
      <c r="A1125" s="1">
        <v>46049</v>
      </c>
      <c r="B1125">
        <v>6978.6</v>
      </c>
    </row>
    <row r="1126" spans="1:2" x14ac:dyDescent="0.25">
      <c r="A1126" s="1">
        <v>46050</v>
      </c>
      <c r="B1126">
        <v>6978.03</v>
      </c>
    </row>
    <row r="1127" spans="1:2" x14ac:dyDescent="0.25">
      <c r="A1127" s="1">
        <v>46051</v>
      </c>
      <c r="B1127">
        <v>6969.01</v>
      </c>
    </row>
    <row r="1128" spans="1:2" x14ac:dyDescent="0.25">
      <c r="A1128" s="1">
        <v>46052</v>
      </c>
      <c r="B1128">
        <v>6939.03</v>
      </c>
    </row>
    <row r="1129" spans="1:2" x14ac:dyDescent="0.25">
      <c r="A1129" s="1">
        <v>46055</v>
      </c>
      <c r="B1129">
        <v>6976.44</v>
      </c>
    </row>
    <row r="1130" spans="1:2" x14ac:dyDescent="0.25">
      <c r="A1130" s="1">
        <v>46056</v>
      </c>
      <c r="B1130">
        <v>6917.81</v>
      </c>
    </row>
    <row r="1131" spans="1:2" x14ac:dyDescent="0.25">
      <c r="A1131" s="1">
        <v>46057</v>
      </c>
      <c r="B1131">
        <v>6882.72</v>
      </c>
    </row>
    <row r="1132" spans="1:2" x14ac:dyDescent="0.25">
      <c r="A1132" s="1">
        <v>46058</v>
      </c>
      <c r="B1132">
        <v>6798.4</v>
      </c>
    </row>
    <row r="1133" spans="1:2" x14ac:dyDescent="0.25">
      <c r="A1133" s="1">
        <v>46059</v>
      </c>
      <c r="B1133">
        <v>6932.3</v>
      </c>
    </row>
    <row r="1134" spans="1:2" x14ac:dyDescent="0.25">
      <c r="A1134" s="1">
        <v>46062</v>
      </c>
      <c r="B1134">
        <v>6964.82</v>
      </c>
    </row>
    <row r="1135" spans="1:2" x14ac:dyDescent="0.25">
      <c r="A1135" s="1">
        <v>46063</v>
      </c>
      <c r="B1135">
        <v>6941.81</v>
      </c>
    </row>
    <row r="1136" spans="1:2" x14ac:dyDescent="0.25">
      <c r="A1136" s="1">
        <v>46064</v>
      </c>
      <c r="B1136">
        <v>6941.47</v>
      </c>
    </row>
    <row r="1137" spans="1:2" x14ac:dyDescent="0.25">
      <c r="A1137" s="1">
        <v>46065</v>
      </c>
      <c r="B1137">
        <v>6832.76</v>
      </c>
    </row>
    <row r="1138" spans="1:2" x14ac:dyDescent="0.25">
      <c r="A1138" s="1">
        <v>46066</v>
      </c>
      <c r="B1138">
        <v>6836.17</v>
      </c>
    </row>
    <row r="1139" spans="1:2" x14ac:dyDescent="0.25">
      <c r="A1139" s="1">
        <v>46069</v>
      </c>
    </row>
    <row r="1140" spans="1:2" x14ac:dyDescent="0.25">
      <c r="A1140" s="1">
        <v>46070</v>
      </c>
      <c r="B1140">
        <v>6843.22</v>
      </c>
    </row>
    <row r="1141" spans="1:2" x14ac:dyDescent="0.25">
      <c r="A1141" s="1">
        <v>46071</v>
      </c>
      <c r="B1141">
        <v>6881.31</v>
      </c>
    </row>
    <row r="1142" spans="1:2" x14ac:dyDescent="0.25">
      <c r="A1142" s="1">
        <v>46072</v>
      </c>
      <c r="B1142">
        <v>6861.89</v>
      </c>
    </row>
    <row r="1143" spans="1:2" x14ac:dyDescent="0.25">
      <c r="A1143" s="1">
        <v>46073</v>
      </c>
      <c r="B1143">
        <v>6909.51</v>
      </c>
    </row>
    <row r="1144" spans="1:2" x14ac:dyDescent="0.25">
      <c r="A1144" s="1">
        <v>46076</v>
      </c>
      <c r="B1144">
        <v>6837.75</v>
      </c>
    </row>
    <row r="1145" spans="1:2" x14ac:dyDescent="0.25">
      <c r="A1145" s="1">
        <v>46077</v>
      </c>
      <c r="B1145">
        <v>6890.07</v>
      </c>
    </row>
    <row r="1146" spans="1:2" x14ac:dyDescent="0.25">
      <c r="A1146" s="1">
        <v>46078</v>
      </c>
      <c r="B1146">
        <v>6946.13</v>
      </c>
    </row>
    <row r="1147" spans="1:2" x14ac:dyDescent="0.25">
      <c r="A1147" s="1">
        <v>46079</v>
      </c>
      <c r="B1147">
        <v>6908.86</v>
      </c>
    </row>
    <row r="1148" spans="1:2" x14ac:dyDescent="0.25">
      <c r="A1148" s="1">
        <v>46080</v>
      </c>
      <c r="B1148">
        <v>6878.88</v>
      </c>
    </row>
    <row r="1149" spans="1:2" x14ac:dyDescent="0.25">
      <c r="A1149" s="1">
        <v>46083</v>
      </c>
      <c r="B1149">
        <v>6881.62</v>
      </c>
    </row>
    <row r="1150" spans="1:2" x14ac:dyDescent="0.25">
      <c r="A1150" s="1">
        <v>46084</v>
      </c>
      <c r="B1150">
        <v>6816.63</v>
      </c>
    </row>
    <row r="1151" spans="1:2" x14ac:dyDescent="0.25">
      <c r="A1151" s="1">
        <v>46085</v>
      </c>
      <c r="B1151">
        <v>6869.5</v>
      </c>
    </row>
    <row r="1152" spans="1:2" x14ac:dyDescent="0.25">
      <c r="A1152" s="1">
        <v>46086</v>
      </c>
      <c r="B1152">
        <v>6830.71</v>
      </c>
    </row>
    <row r="1153" spans="1:2" x14ac:dyDescent="0.25">
      <c r="A1153" s="1">
        <v>46087</v>
      </c>
      <c r="B1153">
        <v>6740.02</v>
      </c>
    </row>
    <row r="1154" spans="1:2" x14ac:dyDescent="0.25">
      <c r="A1154" s="1">
        <v>46090</v>
      </c>
      <c r="B1154">
        <v>6795.99</v>
      </c>
    </row>
    <row r="1155" spans="1:2" x14ac:dyDescent="0.25">
      <c r="A1155" s="1">
        <v>46091</v>
      </c>
      <c r="B1155">
        <v>6781.48</v>
      </c>
    </row>
    <row r="1156" spans="1:2" x14ac:dyDescent="0.25">
      <c r="A1156" s="1">
        <v>46092</v>
      </c>
      <c r="B1156">
        <v>6775.8</v>
      </c>
    </row>
    <row r="1157" spans="1:2" x14ac:dyDescent="0.25">
      <c r="A1157" s="1">
        <v>46093</v>
      </c>
      <c r="B1157">
        <v>6672.62</v>
      </c>
    </row>
    <row r="1158" spans="1:2" x14ac:dyDescent="0.25">
      <c r="A1158" s="1">
        <v>46094</v>
      </c>
      <c r="B1158">
        <v>6632.19</v>
      </c>
    </row>
    <row r="1159" spans="1:2" x14ac:dyDescent="0.25">
      <c r="A1159" s="1">
        <v>46097</v>
      </c>
      <c r="B1159">
        <v>6699.38</v>
      </c>
    </row>
    <row r="1160" spans="1:2" x14ac:dyDescent="0.25">
      <c r="A1160" s="1">
        <v>46098</v>
      </c>
      <c r="B1160">
        <v>6716.09</v>
      </c>
    </row>
    <row r="1161" spans="1:2" x14ac:dyDescent="0.25">
      <c r="A1161" s="1">
        <v>46099</v>
      </c>
      <c r="B1161">
        <v>6624.7</v>
      </c>
    </row>
    <row r="1162" spans="1:2" x14ac:dyDescent="0.25">
      <c r="A1162" s="1">
        <v>46100</v>
      </c>
      <c r="B1162">
        <v>6606.49</v>
      </c>
    </row>
    <row r="1163" spans="1:2" x14ac:dyDescent="0.25">
      <c r="A1163" s="1">
        <v>46101</v>
      </c>
      <c r="B1163">
        <v>6506.48</v>
      </c>
    </row>
    <row r="1164" spans="1:2" x14ac:dyDescent="0.25">
      <c r="A1164" s="1">
        <v>46104</v>
      </c>
      <c r="B1164">
        <v>6581</v>
      </c>
    </row>
    <row r="1165" spans="1:2" x14ac:dyDescent="0.25">
      <c r="A1165" s="1">
        <v>46105</v>
      </c>
      <c r="B1165">
        <v>6556.37</v>
      </c>
    </row>
    <row r="1166" spans="1:2" x14ac:dyDescent="0.25">
      <c r="A1166" s="1">
        <v>46106</v>
      </c>
      <c r="B1166">
        <v>6591.9</v>
      </c>
    </row>
    <row r="1167" spans="1:2" x14ac:dyDescent="0.25">
      <c r="A1167" s="1">
        <v>46107</v>
      </c>
      <c r="B1167">
        <v>6477.16</v>
      </c>
    </row>
    <row r="1168" spans="1:2" x14ac:dyDescent="0.25">
      <c r="A1168" s="1">
        <v>46108</v>
      </c>
      <c r="B1168">
        <v>6368.85</v>
      </c>
    </row>
    <row r="1169" spans="1:2" x14ac:dyDescent="0.25">
      <c r="A1169" s="1">
        <v>46111</v>
      </c>
      <c r="B1169">
        <v>6343.72</v>
      </c>
    </row>
    <row r="1170" spans="1:2" x14ac:dyDescent="0.25">
      <c r="A1170" s="1">
        <v>46112</v>
      </c>
      <c r="B1170">
        <v>6528.52</v>
      </c>
    </row>
    <row r="1171" spans="1:2" x14ac:dyDescent="0.25">
      <c r="A1171" s="1">
        <v>46113</v>
      </c>
      <c r="B1171">
        <v>6575.32</v>
      </c>
    </row>
    <row r="1172" spans="1:2" x14ac:dyDescent="0.25">
      <c r="A1172" s="1">
        <v>46114</v>
      </c>
      <c r="B1172">
        <v>6582.69</v>
      </c>
    </row>
    <row r="1173" spans="1:2" x14ac:dyDescent="0.25">
      <c r="A1173" s="1">
        <v>46115</v>
      </c>
    </row>
    <row r="1174" spans="1:2" x14ac:dyDescent="0.25">
      <c r="A1174" s="1">
        <v>46118</v>
      </c>
      <c r="B1174">
        <v>6611.83</v>
      </c>
    </row>
    <row r="1175" spans="1:2" x14ac:dyDescent="0.25">
      <c r="A1175" s="1">
        <v>46119</v>
      </c>
      <c r="B1175">
        <v>6616.85</v>
      </c>
    </row>
    <row r="1176" spans="1:2" x14ac:dyDescent="0.25">
      <c r="A1176" s="1">
        <v>46120</v>
      </c>
      <c r="B1176">
        <v>6782.81</v>
      </c>
    </row>
    <row r="1177" spans="1:2" x14ac:dyDescent="0.25">
      <c r="A1177" s="1">
        <v>46121</v>
      </c>
      <c r="B1177">
        <v>6824.66</v>
      </c>
    </row>
    <row r="1178" spans="1:2" x14ac:dyDescent="0.25">
      <c r="A1178" s="1">
        <v>46122</v>
      </c>
      <c r="B1178">
        <v>6816.89</v>
      </c>
    </row>
    <row r="1179" spans="1:2" x14ac:dyDescent="0.25">
      <c r="A1179" s="1">
        <v>46125</v>
      </c>
      <c r="B1179">
        <v>6886.24</v>
      </c>
    </row>
    <row r="1180" spans="1:2" x14ac:dyDescent="0.25">
      <c r="A1180" s="1">
        <v>46126</v>
      </c>
      <c r="B1180">
        <v>6967.38</v>
      </c>
    </row>
    <row r="1181" spans="1:2" x14ac:dyDescent="0.25">
      <c r="A1181" s="1">
        <v>46127</v>
      </c>
      <c r="B1181">
        <v>7022.95</v>
      </c>
    </row>
    <row r="1182" spans="1:2" x14ac:dyDescent="0.25">
      <c r="A1182" s="1">
        <v>46128</v>
      </c>
      <c r="B1182">
        <v>7041.28</v>
      </c>
    </row>
    <row r="1183" spans="1:2" x14ac:dyDescent="0.25">
      <c r="A1183" s="1">
        <v>46129</v>
      </c>
      <c r="B1183">
        <v>7126.06</v>
      </c>
    </row>
    <row r="1184" spans="1:2" x14ac:dyDescent="0.25">
      <c r="A1184" s="1">
        <v>46132</v>
      </c>
      <c r="B1184">
        <v>7109.14</v>
      </c>
    </row>
    <row r="1185" spans="1:2" x14ac:dyDescent="0.25">
      <c r="A1185" s="1">
        <v>46133</v>
      </c>
      <c r="B1185">
        <v>7064.01</v>
      </c>
    </row>
    <row r="1186" spans="1:2" x14ac:dyDescent="0.25">
      <c r="A1186" s="1">
        <v>46134</v>
      </c>
      <c r="B1186">
        <v>7137.9</v>
      </c>
    </row>
    <row r="1187" spans="1:2" x14ac:dyDescent="0.25">
      <c r="A1187" s="1">
        <v>46135</v>
      </c>
      <c r="B1187">
        <v>7108.4</v>
      </c>
    </row>
    <row r="1188" spans="1:2" x14ac:dyDescent="0.25">
      <c r="A1188" s="1">
        <v>46136</v>
      </c>
      <c r="B1188">
        <v>7165.08</v>
      </c>
    </row>
    <row r="1189" spans="1:2" x14ac:dyDescent="0.25">
      <c r="A1189" s="1">
        <v>46139</v>
      </c>
      <c r="B1189">
        <v>7173.91</v>
      </c>
    </row>
    <row r="1190" spans="1:2" x14ac:dyDescent="0.25">
      <c r="A1190" s="1">
        <v>46140</v>
      </c>
      <c r="B1190">
        <v>7138.8</v>
      </c>
    </row>
    <row r="1191" spans="1:2" x14ac:dyDescent="0.25">
      <c r="A1191" s="1">
        <v>46141</v>
      </c>
      <c r="B1191">
        <v>7135.95</v>
      </c>
    </row>
    <row r="1192" spans="1:2" x14ac:dyDescent="0.25">
      <c r="A1192" s="1">
        <v>46142</v>
      </c>
      <c r="B1192">
        <v>7209.01</v>
      </c>
    </row>
    <row r="1193" spans="1:2" x14ac:dyDescent="0.25">
      <c r="A1193" s="1">
        <v>46143</v>
      </c>
      <c r="B1193">
        <v>7230.12</v>
      </c>
    </row>
    <row r="1194" spans="1:2" x14ac:dyDescent="0.25">
      <c r="A1194" s="1">
        <v>46146</v>
      </c>
      <c r="B1194">
        <v>7200.75</v>
      </c>
    </row>
    <row r="1195" spans="1:2" x14ac:dyDescent="0.25">
      <c r="A1195" s="1">
        <v>46147</v>
      </c>
      <c r="B1195">
        <v>7259.22</v>
      </c>
    </row>
    <row r="1196" spans="1:2" x14ac:dyDescent="0.25">
      <c r="A1196" s="1">
        <v>46148</v>
      </c>
      <c r="B1196">
        <v>7365.12</v>
      </c>
    </row>
    <row r="1197" spans="1:2" x14ac:dyDescent="0.25">
      <c r="A1197" s="1">
        <v>46149</v>
      </c>
      <c r="B1197">
        <v>7337.11</v>
      </c>
    </row>
    <row r="1198" spans="1:2" x14ac:dyDescent="0.25">
      <c r="A1198" s="1">
        <v>46150</v>
      </c>
      <c r="B1198">
        <v>7398.93</v>
      </c>
    </row>
    <row r="1199" spans="1:2" x14ac:dyDescent="0.25">
      <c r="A1199" s="1">
        <v>46153</v>
      </c>
      <c r="B1199">
        <v>7412.84</v>
      </c>
    </row>
    <row r="1200" spans="1:2" x14ac:dyDescent="0.25">
      <c r="A1200" s="1">
        <v>46154</v>
      </c>
      <c r="B1200">
        <v>7400.96</v>
      </c>
    </row>
    <row r="1201" spans="1:2" x14ac:dyDescent="0.25">
      <c r="A1201" s="1">
        <v>46155</v>
      </c>
      <c r="B1201">
        <v>7444.25</v>
      </c>
    </row>
    <row r="1202" spans="1:2" x14ac:dyDescent="0.25">
      <c r="A1202" s="1">
        <v>46156</v>
      </c>
      <c r="B1202">
        <v>7501.24</v>
      </c>
    </row>
    <row r="1203" spans="1:2" x14ac:dyDescent="0.25">
      <c r="A1203" s="1">
        <v>46157</v>
      </c>
      <c r="B1203">
        <v>7408.5</v>
      </c>
    </row>
    <row r="1204" spans="1:2" x14ac:dyDescent="0.25">
      <c r="A1204" s="1">
        <v>46160</v>
      </c>
      <c r="B1204">
        <v>7403.05</v>
      </c>
    </row>
    <row r="1205" spans="1:2" x14ac:dyDescent="0.25">
      <c r="A1205" s="1">
        <v>46161</v>
      </c>
      <c r="B1205">
        <v>7353.61</v>
      </c>
    </row>
    <row r="1206" spans="1:2" x14ac:dyDescent="0.25">
      <c r="A1206" s="1">
        <v>46162</v>
      </c>
      <c r="B1206">
        <v>7432.97</v>
      </c>
    </row>
    <row r="1207" spans="1:2" x14ac:dyDescent="0.25">
      <c r="A1207" s="1">
        <v>46163</v>
      </c>
      <c r="B1207">
        <v>7445.72</v>
      </c>
    </row>
    <row r="1208" spans="1:2" x14ac:dyDescent="0.25">
      <c r="A1208" s="1">
        <v>46164</v>
      </c>
      <c r="B1208">
        <v>7473.47</v>
      </c>
    </row>
    <row r="1209" spans="1:2" x14ac:dyDescent="0.25">
      <c r="A1209" s="1">
        <v>46167</v>
      </c>
    </row>
    <row r="1210" spans="1:2" x14ac:dyDescent="0.25">
      <c r="A1210" s="1">
        <v>46168</v>
      </c>
      <c r="B1210">
        <v>7519.12</v>
      </c>
    </row>
    <row r="1211" spans="1:2" x14ac:dyDescent="0.25">
      <c r="A1211" s="1">
        <v>46169</v>
      </c>
      <c r="B1211">
        <v>7520.36</v>
      </c>
    </row>
    <row r="1212" spans="1:2" x14ac:dyDescent="0.25">
      <c r="A1212" s="1">
        <v>46170</v>
      </c>
      <c r="B1212">
        <v>7563.63</v>
      </c>
    </row>
    <row r="1213" spans="1:2" x14ac:dyDescent="0.25">
      <c r="A1213" s="1">
        <v>46171</v>
      </c>
      <c r="B1213">
        <v>7580.06</v>
      </c>
    </row>
    <row r="1214" spans="1:2" x14ac:dyDescent="0.25">
      <c r="A1214" s="1">
        <v>46174</v>
      </c>
      <c r="B1214">
        <v>7599.96</v>
      </c>
    </row>
    <row r="1215" spans="1:2" x14ac:dyDescent="0.25">
      <c r="A1215" s="1">
        <v>46175</v>
      </c>
      <c r="B1215">
        <v>7609.78</v>
      </c>
    </row>
    <row r="1216" spans="1:2" x14ac:dyDescent="0.25">
      <c r="A1216" s="1">
        <v>46176</v>
      </c>
      <c r="B1216">
        <v>7553.68</v>
      </c>
    </row>
    <row r="1217" spans="1:2" x14ac:dyDescent="0.25">
      <c r="A1217" s="1">
        <v>46177</v>
      </c>
      <c r="B1217">
        <v>7584.31</v>
      </c>
    </row>
    <row r="1218" spans="1:2" x14ac:dyDescent="0.25">
      <c r="A1218" s="1">
        <v>46178</v>
      </c>
      <c r="B1218">
        <v>7383.74</v>
      </c>
    </row>
    <row r="1219" spans="1:2" x14ac:dyDescent="0.25">
      <c r="A1219" s="1">
        <v>46181</v>
      </c>
      <c r="B1219">
        <v>7405.73</v>
      </c>
    </row>
    <row r="1220" spans="1:2" x14ac:dyDescent="0.25">
      <c r="A1220" s="1">
        <v>46182</v>
      </c>
      <c r="B1220">
        <v>7386.65</v>
      </c>
    </row>
    <row r="1221" spans="1:2" x14ac:dyDescent="0.25">
      <c r="A1221" s="1">
        <v>46183</v>
      </c>
      <c r="B1221">
        <v>7266.99</v>
      </c>
    </row>
    <row r="1222" spans="1:2" x14ac:dyDescent="0.25">
      <c r="A1222" s="1">
        <v>46184</v>
      </c>
      <c r="B1222">
        <v>7394.3</v>
      </c>
    </row>
    <row r="1223" spans="1:2" x14ac:dyDescent="0.25">
      <c r="A1223" s="1">
        <v>46185</v>
      </c>
      <c r="B1223">
        <v>7431.46</v>
      </c>
    </row>
    <row r="1224" spans="1:2" x14ac:dyDescent="0.25">
      <c r="A1224" s="1">
        <v>46188</v>
      </c>
      <c r="B1224">
        <v>7554.29</v>
      </c>
    </row>
    <row r="1225" spans="1:2" x14ac:dyDescent="0.25">
      <c r="A1225" s="1">
        <v>46189</v>
      </c>
      <c r="B1225">
        <v>7511.35</v>
      </c>
    </row>
    <row r="1226" spans="1:2" x14ac:dyDescent="0.25">
      <c r="A1226" s="1">
        <v>46190</v>
      </c>
      <c r="B1226">
        <v>7420.1</v>
      </c>
    </row>
    <row r="1227" spans="1:2" x14ac:dyDescent="0.25">
      <c r="A1227" s="1">
        <v>46191</v>
      </c>
      <c r="B1227">
        <v>7500.58</v>
      </c>
    </row>
    <row r="1228" spans="1:2" x14ac:dyDescent="0.25">
      <c r="A1228" s="1">
        <v>46192</v>
      </c>
    </row>
    <row r="1229" spans="1:2" x14ac:dyDescent="0.25">
      <c r="A1229" s="1">
        <v>46195</v>
      </c>
      <c r="B1229">
        <v>7472.79</v>
      </c>
    </row>
    <row r="1230" spans="1:2" x14ac:dyDescent="0.25">
      <c r="A1230" s="1">
        <v>46196</v>
      </c>
      <c r="B1230">
        <v>7365.46</v>
      </c>
    </row>
    <row r="1231" spans="1:2" x14ac:dyDescent="0.25">
      <c r="A1231" s="1">
        <v>46197</v>
      </c>
      <c r="B1231">
        <v>7358.22</v>
      </c>
    </row>
    <row r="1232" spans="1:2" x14ac:dyDescent="0.25">
      <c r="A1232" s="1">
        <v>46198</v>
      </c>
      <c r="B1232">
        <v>7357.49</v>
      </c>
    </row>
    <row r="1233" spans="1:2" x14ac:dyDescent="0.25">
      <c r="A1233" s="1">
        <v>46199</v>
      </c>
      <c r="B1233">
        <v>7354.02</v>
      </c>
    </row>
    <row r="1234" spans="1:2" x14ac:dyDescent="0.25">
      <c r="A1234" s="1">
        <v>46202</v>
      </c>
      <c r="B1234">
        <v>7440.43</v>
      </c>
    </row>
    <row r="1235" spans="1:2" x14ac:dyDescent="0.25">
      <c r="A1235" s="1">
        <v>46203</v>
      </c>
      <c r="B1235">
        <v>7499.36</v>
      </c>
    </row>
    <row r="1236" spans="1:2" x14ac:dyDescent="0.25">
      <c r="A1236" s="1">
        <v>46204</v>
      </c>
      <c r="B1236">
        <v>7483.23</v>
      </c>
    </row>
    <row r="1237" spans="1:2" x14ac:dyDescent="0.25">
      <c r="A1237" s="1">
        <v>46205</v>
      </c>
      <c r="B1237">
        <v>7483.24</v>
      </c>
    </row>
    <row r="1238" spans="1:2" x14ac:dyDescent="0.25">
      <c r="A1238" s="1">
        <v>46206</v>
      </c>
    </row>
    <row r="1239" spans="1:2" x14ac:dyDescent="0.25">
      <c r="A1239" s="1">
        <v>46209</v>
      </c>
      <c r="B1239">
        <v>7537.43</v>
      </c>
    </row>
    <row r="1240" spans="1:2" x14ac:dyDescent="0.25">
      <c r="A1240" s="1">
        <v>46210</v>
      </c>
      <c r="B1240">
        <v>7503.85</v>
      </c>
    </row>
    <row r="1241" spans="1:2" x14ac:dyDescent="0.25">
      <c r="A1241" s="1">
        <v>46211</v>
      </c>
      <c r="B1241">
        <v>7482.71</v>
      </c>
    </row>
    <row r="1242" spans="1:2" x14ac:dyDescent="0.25">
      <c r="A1242" s="1">
        <v>46212</v>
      </c>
      <c r="B1242">
        <v>7543.64</v>
      </c>
    </row>
    <row r="1243" spans="1:2" x14ac:dyDescent="0.25">
      <c r="A1243" s="1">
        <v>46213</v>
      </c>
      <c r="B1243">
        <v>7575.39</v>
      </c>
    </row>
    <row r="1244" spans="1:2" x14ac:dyDescent="0.25">
      <c r="A1244" s="1">
        <v>46216</v>
      </c>
      <c r="B1244">
        <v>7515.34</v>
      </c>
    </row>
    <row r="1245" spans="1:2" x14ac:dyDescent="0.25">
      <c r="A1245" s="1">
        <v>46217</v>
      </c>
      <c r="B1245">
        <v>7543.59</v>
      </c>
    </row>
    <row r="1246" spans="1:2" x14ac:dyDescent="0.25">
      <c r="A1246" s="1">
        <v>46218</v>
      </c>
      <c r="B1246">
        <v>7572.4</v>
      </c>
    </row>
    <row r="1247" spans="1:2" x14ac:dyDescent="0.25">
      <c r="A1247" s="1">
        <v>46219</v>
      </c>
      <c r="B1247">
        <v>7533.77</v>
      </c>
    </row>
    <row r="1248" spans="1:2" x14ac:dyDescent="0.25">
      <c r="A1248" s="1">
        <v>46220</v>
      </c>
      <c r="B1248">
        <v>7457.69</v>
      </c>
    </row>
    <row r="1249" spans="1:2" x14ac:dyDescent="0.25">
      <c r="A1249" s="1">
        <v>46223</v>
      </c>
      <c r="B1249">
        <v>7443.28</v>
      </c>
    </row>
    <row r="1250" spans="1:2" x14ac:dyDescent="0.25">
      <c r="A1250" s="1">
        <v>46224</v>
      </c>
      <c r="B1250">
        <v>7509.2</v>
      </c>
    </row>
    <row r="1251" spans="1:2" x14ac:dyDescent="0.25">
      <c r="A1251" s="1">
        <v>46225</v>
      </c>
      <c r="B1251">
        <v>7498.96</v>
      </c>
    </row>
    <row r="1252" spans="1:2" x14ac:dyDescent="0.25">
      <c r="A1252" s="1">
        <v>46226</v>
      </c>
      <c r="B1252">
        <v>7408.3</v>
      </c>
    </row>
    <row r="1253" spans="1:2" x14ac:dyDescent="0.25">
      <c r="A1253" s="1">
        <v>46227</v>
      </c>
      <c r="B1253">
        <v>7411.98</v>
      </c>
    </row>
    <row r="1254" spans="1:2" x14ac:dyDescent="0.25">
      <c r="A1254" s="1">
        <v>46230</v>
      </c>
      <c r="B1254">
        <v>7413.18</v>
      </c>
    </row>
    <row r="1255" spans="1:2" x14ac:dyDescent="0.25">
      <c r="A1255" s="1">
        <v>46231</v>
      </c>
      <c r="B1255">
        <v>7428.78</v>
      </c>
    </row>
    <row r="1256" spans="1:2" x14ac:dyDescent="0.25">
      <c r="A1256" s="1">
        <v>46232</v>
      </c>
      <c r="B1256">
        <v>7316.15</v>
      </c>
    </row>
    <row r="1257" spans="1:2" x14ac:dyDescent="0.25">
      <c r="A1257" s="1">
        <v>46233</v>
      </c>
      <c r="B1257">
        <v>7437.63</v>
      </c>
    </row>
    <row r="1258" spans="1:2" x14ac:dyDescent="0.25">
      <c r="A1258" s="1">
        <v>46234</v>
      </c>
      <c r="B1258">
        <v>7489.72</v>
      </c>
    </row>
    <row r="1259" spans="1:2" x14ac:dyDescent="0.25">
      <c r="A1259" s="1">
        <v>46237</v>
      </c>
      <c r="B1259">
        <v>7600.5</v>
      </c>
    </row>
    <row r="1260" spans="1:2" x14ac:dyDescent="0.25">
      <c r="A1260" s="1">
        <v>46238</v>
      </c>
      <c r="B1260">
        <v>7736.52</v>
      </c>
    </row>
    <row r="1261" spans="1:2" x14ac:dyDescent="0.25">
      <c r="A1261" s="1">
        <v>46239</v>
      </c>
      <c r="B1261">
        <v>7723.55</v>
      </c>
    </row>
    <row r="1262" spans="1:2" x14ac:dyDescent="0.25">
      <c r="A1262" s="1">
        <v>46240</v>
      </c>
      <c r="B1262">
        <v>7709.96</v>
      </c>
    </row>
    <row r="1263" spans="1:2" x14ac:dyDescent="0.25">
      <c r="A1263" s="1">
        <v>46241</v>
      </c>
      <c r="B1263">
        <v>7757.64</v>
      </c>
    </row>
    <row r="1264" spans="1:2" x14ac:dyDescent="0.25">
      <c r="A1264" s="1">
        <v>46244</v>
      </c>
      <c r="B1264">
        <v>7753.11</v>
      </c>
    </row>
    <row r="1265" spans="1:2" x14ac:dyDescent="0.25">
      <c r="A1265" s="1">
        <v>46245</v>
      </c>
      <c r="B1265">
        <v>7728.2</v>
      </c>
    </row>
    <row r="1266" spans="1:2" x14ac:dyDescent="0.25">
      <c r="A1266" s="1">
        <v>46246</v>
      </c>
      <c r="B1266">
        <v>7748.5</v>
      </c>
    </row>
    <row r="1267" spans="1:2" x14ac:dyDescent="0.25">
      <c r="A1267" s="1">
        <v>46247</v>
      </c>
      <c r="B1267">
        <v>7798.99</v>
      </c>
    </row>
    <row r="1268" spans="1:2" x14ac:dyDescent="0.25">
      <c r="A1268" s="1">
        <v>46248</v>
      </c>
      <c r="B1268">
        <v>7785.76</v>
      </c>
    </row>
    <row r="1269" spans="1:2" x14ac:dyDescent="0.25">
      <c r="A1269" s="1">
        <v>46251</v>
      </c>
      <c r="B1269">
        <v>7745.06</v>
      </c>
    </row>
    <row r="1270" spans="1:2" x14ac:dyDescent="0.25">
      <c r="A1270" s="1">
        <v>46252</v>
      </c>
      <c r="B1270">
        <v>7691.76</v>
      </c>
    </row>
    <row r="1271" spans="1:2" x14ac:dyDescent="0.25">
      <c r="A1271" s="1">
        <v>46253</v>
      </c>
      <c r="B1271">
        <v>7707.98</v>
      </c>
    </row>
    <row r="1272" spans="1:2" x14ac:dyDescent="0.25">
      <c r="A1272" s="1">
        <v>46254</v>
      </c>
      <c r="B1272">
        <v>7641.16</v>
      </c>
    </row>
    <row r="1273" spans="1:2" x14ac:dyDescent="0.25">
      <c r="A1273" s="1">
        <v>46255</v>
      </c>
      <c r="B1273">
        <v>7674.37</v>
      </c>
    </row>
    <row r="1274" spans="1:2" x14ac:dyDescent="0.25">
      <c r="A1274" s="1">
        <v>46258</v>
      </c>
      <c r="B1274">
        <v>7652.86</v>
      </c>
    </row>
    <row r="1275" spans="1:2" x14ac:dyDescent="0.25">
      <c r="A1275" s="1">
        <v>46259</v>
      </c>
      <c r="B1275">
        <v>7677.28</v>
      </c>
    </row>
    <row r="1276" spans="1:2" x14ac:dyDescent="0.25">
      <c r="A1276" s="1">
        <v>46260</v>
      </c>
      <c r="B1276">
        <v>7675.7</v>
      </c>
    </row>
    <row r="1277" spans="1:2" x14ac:dyDescent="0.25">
      <c r="A1277" s="1">
        <v>46261</v>
      </c>
      <c r="B1277">
        <v>7730.99</v>
      </c>
    </row>
    <row r="1278" spans="1:2" x14ac:dyDescent="0.25">
      <c r="A1278" s="1">
        <v>46262</v>
      </c>
      <c r="B1278">
        <v>7711.76</v>
      </c>
    </row>
    <row r="1279" spans="1:2" x14ac:dyDescent="0.25">
      <c r="A1279" s="1">
        <v>46265</v>
      </c>
      <c r="B1279">
        <v>7686.14</v>
      </c>
    </row>
    <row r="1280" spans="1:2" x14ac:dyDescent="0.25">
      <c r="A1280" s="1">
        <v>46266</v>
      </c>
      <c r="B1280">
        <v>7631.47</v>
      </c>
    </row>
    <row r="1281" spans="1:2" x14ac:dyDescent="0.25">
      <c r="A1281" s="1">
        <v>46267</v>
      </c>
      <c r="B1281">
        <v>7666.6</v>
      </c>
    </row>
    <row r="1282" spans="1:2" x14ac:dyDescent="0.25">
      <c r="A1282" s="1">
        <v>46268</v>
      </c>
      <c r="B1282">
        <v>7747.71</v>
      </c>
    </row>
    <row r="1283" spans="1:2" x14ac:dyDescent="0.25">
      <c r="A1283" s="1">
        <v>46269</v>
      </c>
      <c r="B1283">
        <v>7718.6</v>
      </c>
    </row>
    <row r="1284" spans="1:2" x14ac:dyDescent="0.25">
      <c r="A1284" s="1">
        <v>46272</v>
      </c>
    </row>
    <row r="1285" spans="1:2" x14ac:dyDescent="0.25">
      <c r="A1285" s="1">
        <v>46273</v>
      </c>
      <c r="B1285">
        <v>7673.52</v>
      </c>
    </row>
    <row r="1286" spans="1:2" x14ac:dyDescent="0.25">
      <c r="A1286" s="1">
        <v>46274</v>
      </c>
      <c r="B1286">
        <v>7636.36</v>
      </c>
    </row>
    <row r="1287" spans="1:2" x14ac:dyDescent="0.25">
      <c r="A1287" s="1">
        <v>46275</v>
      </c>
      <c r="B1287">
        <v>7591.7</v>
      </c>
    </row>
    <row r="1288" spans="1:2" x14ac:dyDescent="0.25">
      <c r="A1288" s="1">
        <v>46276</v>
      </c>
      <c r="B1288">
        <v>7656.98</v>
      </c>
    </row>
    <row r="1289" spans="1:2" x14ac:dyDescent="0.25">
      <c r="A1289" s="1">
        <v>46279</v>
      </c>
      <c r="B1289">
        <v>7619.98</v>
      </c>
    </row>
    <row r="1290" spans="1:2" x14ac:dyDescent="0.25">
      <c r="A1290" s="1">
        <v>46280</v>
      </c>
      <c r="B1290">
        <v>7585.73</v>
      </c>
    </row>
    <row r="1291" spans="1:2" x14ac:dyDescent="0.25">
      <c r="A1291" s="1">
        <v>46281</v>
      </c>
      <c r="B1291">
        <v>7551.81</v>
      </c>
    </row>
    <row r="1292" spans="1:2" x14ac:dyDescent="0.25">
      <c r="A1292" s="1">
        <v>46282</v>
      </c>
      <c r="B1292">
        <v>7637.76</v>
      </c>
    </row>
    <row r="1293" spans="1:2" x14ac:dyDescent="0.25">
      <c r="A1293" s="1">
        <v>46283</v>
      </c>
      <c r="B1293">
        <v>7650.5</v>
      </c>
    </row>
    <row r="1294" spans="1:2" x14ac:dyDescent="0.25">
      <c r="A1294" s="1">
        <v>46286</v>
      </c>
      <c r="B1294">
        <v>7764.7</v>
      </c>
    </row>
    <row r="1295" spans="1:2" x14ac:dyDescent="0.25">
      <c r="A1295" s="1">
        <v>46287</v>
      </c>
      <c r="B1295">
        <v>7764.64</v>
      </c>
    </row>
    <row r="1296" spans="1:2" x14ac:dyDescent="0.25">
      <c r="A1296" s="1">
        <v>46288</v>
      </c>
      <c r="B1296">
        <v>7706.03</v>
      </c>
    </row>
    <row r="1297" spans="1:2" x14ac:dyDescent="0.25">
      <c r="A1297" s="1">
        <v>46289</v>
      </c>
      <c r="B1297">
        <v>7704.13</v>
      </c>
    </row>
    <row r="1298" spans="1:2" x14ac:dyDescent="0.25">
      <c r="A1298" s="1">
        <v>46290</v>
      </c>
      <c r="B1298">
        <v>7743.41</v>
      </c>
    </row>
    <row r="1299" spans="1:2" x14ac:dyDescent="0.25">
      <c r="A1299" s="1">
        <v>46293</v>
      </c>
      <c r="B1299">
        <v>7683.69</v>
      </c>
    </row>
    <row r="1300" spans="1:2" x14ac:dyDescent="0.25">
      <c r="A1300" s="1">
        <v>46294</v>
      </c>
      <c r="B1300">
        <v>7670.84</v>
      </c>
    </row>
    <row r="1301" spans="1:2" x14ac:dyDescent="0.25">
      <c r="A1301" s="1">
        <v>46295</v>
      </c>
      <c r="B1301">
        <v>7651.54</v>
      </c>
    </row>
    <row r="1302" spans="1:2" x14ac:dyDescent="0.25">
      <c r="A1302" s="1">
        <v>46296</v>
      </c>
      <c r="B1302">
        <v>7666.45</v>
      </c>
    </row>
    <row r="1303" spans="1:2" x14ac:dyDescent="0.25">
      <c r="A1303" s="1">
        <v>46297</v>
      </c>
      <c r="B1303">
        <v>7722.72</v>
      </c>
    </row>
    <row r="1304" spans="1:2" x14ac:dyDescent="0.25">
      <c r="A1304" s="1">
        <v>46300</v>
      </c>
      <c r="B1304">
        <v>7773.95</v>
      </c>
    </row>
    <row r="1305" spans="1:2" x14ac:dyDescent="0.25">
      <c r="A1305" s="1">
        <v>46301</v>
      </c>
      <c r="B1305">
        <v>7818.93</v>
      </c>
    </row>
    <row r="1306" spans="1:2" x14ac:dyDescent="0.25">
      <c r="A1306" s="1">
        <v>46302</v>
      </c>
      <c r="B1306">
        <v>7801.77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465F-0008-4032-8BCD-FF0FE490311C}">
  <dimension ref="A1:H54"/>
  <sheetViews>
    <sheetView workbookViewId="0">
      <selection activeCell="J21" sqref="J21"/>
    </sheetView>
  </sheetViews>
  <sheetFormatPr defaultRowHeight="15" x14ac:dyDescent="0.25"/>
  <cols>
    <col min="1" max="1" width="26.42578125" bestFit="1" customWidth="1"/>
    <col min="2" max="2" width="10.140625" bestFit="1" customWidth="1"/>
    <col min="4" max="4" width="28.85546875" bestFit="1" customWidth="1"/>
    <col min="5" max="5" width="11.85546875" bestFit="1" customWidth="1"/>
    <col min="8" max="8" width="17" style="5" bestFit="1" customWidth="1"/>
  </cols>
  <sheetData>
    <row r="1" spans="1:8" x14ac:dyDescent="0.25">
      <c r="A1" t="s">
        <v>29</v>
      </c>
    </row>
    <row r="3" spans="1:8" x14ac:dyDescent="0.25">
      <c r="A3" t="s">
        <v>30</v>
      </c>
      <c r="B3" s="11">
        <v>1000</v>
      </c>
      <c r="D3" t="s">
        <v>35</v>
      </c>
      <c r="E3" s="10">
        <f>B4*B5/12</f>
        <v>400</v>
      </c>
      <c r="G3" t="s">
        <v>24</v>
      </c>
      <c r="H3" s="5" t="s">
        <v>42</v>
      </c>
    </row>
    <row r="4" spans="1:8" x14ac:dyDescent="0.25">
      <c r="A4" t="s">
        <v>31</v>
      </c>
      <c r="B4" s="11">
        <v>80000</v>
      </c>
      <c r="D4" t="s">
        <v>36</v>
      </c>
      <c r="E4" s="10">
        <f>B4*B6/12</f>
        <v>200</v>
      </c>
      <c r="G4">
        <v>0</v>
      </c>
      <c r="H4" s="5">
        <f>IF(ISNUMBER(G4),FV($B$7/12,G4*12,-$E$5,-$B$3),"")</f>
        <v>1000</v>
      </c>
    </row>
    <row r="5" spans="1:8" x14ac:dyDescent="0.25">
      <c r="A5" t="s">
        <v>32</v>
      </c>
      <c r="B5" s="12">
        <v>0.06</v>
      </c>
      <c r="D5" t="s">
        <v>37</v>
      </c>
      <c r="E5" s="10">
        <f>SUM(E3:E4)</f>
        <v>600</v>
      </c>
      <c r="G5">
        <f>IF(G4&lt;$B$8,G4+1,"")</f>
        <v>1</v>
      </c>
      <c r="H5" s="5">
        <f t="shared" ref="H5:H54" si="0">IF(ISNUMBER(G5),FV($B$7/12,G5*12,-$E$5,-$B$3),"")</f>
        <v>8507.8412546404979</v>
      </c>
    </row>
    <row r="6" spans="1:8" x14ac:dyDescent="0.25">
      <c r="A6" t="s">
        <v>33</v>
      </c>
      <c r="B6" s="13">
        <v>0.03</v>
      </c>
      <c r="G6">
        <f t="shared" ref="G6:G54" si="1">IF(G5&lt;$B$8,G5+1,"")</f>
        <v>2</v>
      </c>
      <c r="H6" s="5">
        <f t="shared" si="0"/>
        <v>16558.424960634751</v>
      </c>
    </row>
    <row r="7" spans="1:8" x14ac:dyDescent="0.25">
      <c r="A7" t="s">
        <v>20</v>
      </c>
      <c r="B7" s="13">
        <v>7.0000000000000007E-2</v>
      </c>
      <c r="D7" t="s">
        <v>38</v>
      </c>
      <c r="E7" s="15">
        <f>FV(B7/12,B8*12,-E5,-B3)</f>
        <v>316594.73474429228</v>
      </c>
      <c r="G7">
        <f t="shared" si="1"/>
        <v>3</v>
      </c>
      <c r="H7" s="5">
        <f t="shared" si="0"/>
        <v>25190.986013675218</v>
      </c>
    </row>
    <row r="8" spans="1:8" x14ac:dyDescent="0.25">
      <c r="A8" t="s">
        <v>34</v>
      </c>
      <c r="B8" s="14">
        <v>20</v>
      </c>
      <c r="D8" t="s">
        <v>39</v>
      </c>
      <c r="E8" s="10">
        <f>B3+(E5*B8*12)</f>
        <v>145000</v>
      </c>
      <c r="G8">
        <f t="shared" si="1"/>
        <v>4</v>
      </c>
      <c r="H8" s="5">
        <f t="shared" si="0"/>
        <v>34447.595603236361</v>
      </c>
    </row>
    <row r="9" spans="1:8" x14ac:dyDescent="0.25">
      <c r="D9" t="s">
        <v>40</v>
      </c>
      <c r="E9" s="8">
        <f>E7-E8</f>
        <v>171594.73474429228</v>
      </c>
      <c r="G9">
        <f t="shared" si="1"/>
        <v>5</v>
      </c>
      <c r="H9" s="5">
        <f t="shared" si="0"/>
        <v>44373.366248481507</v>
      </c>
    </row>
    <row r="10" spans="1:8" x14ac:dyDescent="0.25">
      <c r="G10">
        <f t="shared" si="1"/>
        <v>6</v>
      </c>
      <c r="H10" s="5">
        <f t="shared" si="0"/>
        <v>55016.671656231869</v>
      </c>
    </row>
    <row r="11" spans="1:8" x14ac:dyDescent="0.25">
      <c r="G11">
        <f t="shared" si="1"/>
        <v>7</v>
      </c>
      <c r="H11" s="5">
        <f t="shared" si="0"/>
        <v>66429.382472486119</v>
      </c>
    </row>
    <row r="12" spans="1:8" x14ac:dyDescent="0.25">
      <c r="G12">
        <f t="shared" si="1"/>
        <v>8</v>
      </c>
      <c r="H12" s="5">
        <f t="shared" si="0"/>
        <v>78667.119076436196</v>
      </c>
    </row>
    <row r="13" spans="1:8" x14ac:dyDescent="0.25">
      <c r="G13">
        <f t="shared" si="1"/>
        <v>9</v>
      </c>
      <c r="H13" s="5">
        <f t="shared" si="0"/>
        <v>91789.522648983184</v>
      </c>
    </row>
    <row r="14" spans="1:8" x14ac:dyDescent="0.25">
      <c r="G14">
        <f t="shared" si="1"/>
        <v>10</v>
      </c>
      <c r="H14" s="5">
        <f t="shared" si="0"/>
        <v>105860.54583681772</v>
      </c>
    </row>
    <row r="15" spans="1:8" x14ac:dyDescent="0.25">
      <c r="G15">
        <f t="shared" si="1"/>
        <v>11</v>
      </c>
      <c r="H15" s="5">
        <f t="shared" si="0"/>
        <v>120948.76442863084</v>
      </c>
    </row>
    <row r="16" spans="1:8" x14ac:dyDescent="0.25">
      <c r="G16">
        <f t="shared" si="1"/>
        <v>12</v>
      </c>
      <c r="H16" s="5">
        <f t="shared" si="0"/>
        <v>137127.71156242263</v>
      </c>
    </row>
    <row r="17" spans="7:8" x14ac:dyDescent="0.25">
      <c r="G17">
        <f t="shared" si="1"/>
        <v>13</v>
      </c>
      <c r="H17" s="5">
        <f t="shared" si="0"/>
        <v>154476.23609268505</v>
      </c>
    </row>
    <row r="18" spans="7:8" x14ac:dyDescent="0.25">
      <c r="G18">
        <f t="shared" si="1"/>
        <v>14</v>
      </c>
      <c r="H18" s="5">
        <f t="shared" si="0"/>
        <v>173078.88686397651</v>
      </c>
    </row>
    <row r="19" spans="7:8" x14ac:dyDescent="0.25">
      <c r="G19">
        <f t="shared" si="1"/>
        <v>15</v>
      </c>
      <c r="H19" s="5">
        <f t="shared" si="0"/>
        <v>193026.32476366492</v>
      </c>
    </row>
    <row r="20" spans="7:8" x14ac:dyDescent="0.25">
      <c r="G20">
        <f t="shared" si="1"/>
        <v>16</v>
      </c>
      <c r="H20" s="5">
        <f t="shared" si="0"/>
        <v>214415.76456199656</v>
      </c>
    </row>
    <row r="21" spans="7:8" x14ac:dyDescent="0.25">
      <c r="G21">
        <f t="shared" si="1"/>
        <v>17</v>
      </c>
      <c r="H21" s="5">
        <f t="shared" si="0"/>
        <v>237351.44869281916</v>
      </c>
    </row>
    <row r="22" spans="7:8" x14ac:dyDescent="0.25">
      <c r="G22">
        <f t="shared" si="1"/>
        <v>18</v>
      </c>
      <c r="H22" s="5">
        <f t="shared" si="0"/>
        <v>261945.15528395207</v>
      </c>
    </row>
    <row r="23" spans="7:8" x14ac:dyDescent="0.25">
      <c r="G23">
        <f t="shared" si="1"/>
        <v>19</v>
      </c>
      <c r="H23" s="5">
        <f t="shared" si="0"/>
        <v>288316.74291311251</v>
      </c>
    </row>
    <row r="24" spans="7:8" x14ac:dyDescent="0.25">
      <c r="G24">
        <f t="shared" si="1"/>
        <v>20</v>
      </c>
      <c r="H24" s="5">
        <f t="shared" si="0"/>
        <v>316594.73474429228</v>
      </c>
    </row>
    <row r="25" spans="7:8" x14ac:dyDescent="0.25">
      <c r="G25" t="str">
        <f t="shared" si="1"/>
        <v/>
      </c>
      <c r="H25" s="5" t="str">
        <f t="shared" si="0"/>
        <v/>
      </c>
    </row>
    <row r="26" spans="7:8" x14ac:dyDescent="0.25">
      <c r="G26" t="str">
        <f t="shared" si="1"/>
        <v/>
      </c>
      <c r="H26" s="5" t="str">
        <f t="shared" si="0"/>
        <v/>
      </c>
    </row>
    <row r="27" spans="7:8" x14ac:dyDescent="0.25">
      <c r="G27" t="str">
        <f t="shared" si="1"/>
        <v/>
      </c>
      <c r="H27" s="5" t="str">
        <f t="shared" si="0"/>
        <v/>
      </c>
    </row>
    <row r="28" spans="7:8" x14ac:dyDescent="0.25">
      <c r="G28" t="str">
        <f t="shared" si="1"/>
        <v/>
      </c>
      <c r="H28" s="5" t="str">
        <f t="shared" si="0"/>
        <v/>
      </c>
    </row>
    <row r="29" spans="7:8" x14ac:dyDescent="0.25">
      <c r="G29" t="str">
        <f t="shared" si="1"/>
        <v/>
      </c>
      <c r="H29" s="5" t="str">
        <f t="shared" si="0"/>
        <v/>
      </c>
    </row>
    <row r="30" spans="7:8" x14ac:dyDescent="0.25">
      <c r="G30" t="str">
        <f t="shared" si="1"/>
        <v/>
      </c>
      <c r="H30" s="5" t="str">
        <f t="shared" si="0"/>
        <v/>
      </c>
    </row>
    <row r="31" spans="7:8" x14ac:dyDescent="0.25">
      <c r="G31" t="str">
        <f t="shared" si="1"/>
        <v/>
      </c>
      <c r="H31" s="5" t="str">
        <f t="shared" si="0"/>
        <v/>
      </c>
    </row>
    <row r="32" spans="7:8" x14ac:dyDescent="0.25">
      <c r="G32" t="str">
        <f t="shared" si="1"/>
        <v/>
      </c>
      <c r="H32" s="5" t="str">
        <f t="shared" si="0"/>
        <v/>
      </c>
    </row>
    <row r="33" spans="7:8" x14ac:dyDescent="0.25">
      <c r="G33" t="str">
        <f t="shared" si="1"/>
        <v/>
      </c>
      <c r="H33" s="5" t="str">
        <f t="shared" si="0"/>
        <v/>
      </c>
    </row>
    <row r="34" spans="7:8" x14ac:dyDescent="0.25">
      <c r="G34" t="str">
        <f t="shared" si="1"/>
        <v/>
      </c>
      <c r="H34" s="5" t="str">
        <f t="shared" si="0"/>
        <v/>
      </c>
    </row>
    <row r="35" spans="7:8" x14ac:dyDescent="0.25">
      <c r="G35" t="str">
        <f t="shared" si="1"/>
        <v/>
      </c>
      <c r="H35" s="5" t="str">
        <f t="shared" si="0"/>
        <v/>
      </c>
    </row>
    <row r="36" spans="7:8" x14ac:dyDescent="0.25">
      <c r="G36" t="str">
        <f t="shared" si="1"/>
        <v/>
      </c>
      <c r="H36" s="5" t="str">
        <f t="shared" si="0"/>
        <v/>
      </c>
    </row>
    <row r="37" spans="7:8" x14ac:dyDescent="0.25">
      <c r="G37" t="str">
        <f t="shared" si="1"/>
        <v/>
      </c>
      <c r="H37" s="5" t="str">
        <f t="shared" si="0"/>
        <v/>
      </c>
    </row>
    <row r="38" spans="7:8" x14ac:dyDescent="0.25">
      <c r="G38" t="str">
        <f t="shared" si="1"/>
        <v/>
      </c>
      <c r="H38" s="5" t="str">
        <f t="shared" si="0"/>
        <v/>
      </c>
    </row>
    <row r="39" spans="7:8" x14ac:dyDescent="0.25">
      <c r="G39" t="str">
        <f t="shared" si="1"/>
        <v/>
      </c>
      <c r="H39" s="5" t="str">
        <f t="shared" si="0"/>
        <v/>
      </c>
    </row>
    <row r="40" spans="7:8" x14ac:dyDescent="0.25">
      <c r="G40" t="str">
        <f t="shared" si="1"/>
        <v/>
      </c>
      <c r="H40" s="5" t="str">
        <f t="shared" si="0"/>
        <v/>
      </c>
    </row>
    <row r="41" spans="7:8" x14ac:dyDescent="0.25">
      <c r="G41" t="str">
        <f t="shared" si="1"/>
        <v/>
      </c>
      <c r="H41" s="5" t="str">
        <f t="shared" si="0"/>
        <v/>
      </c>
    </row>
    <row r="42" spans="7:8" x14ac:dyDescent="0.25">
      <c r="G42" t="str">
        <f t="shared" si="1"/>
        <v/>
      </c>
      <c r="H42" s="5" t="str">
        <f t="shared" si="0"/>
        <v/>
      </c>
    </row>
    <row r="43" spans="7:8" x14ac:dyDescent="0.25">
      <c r="G43" t="str">
        <f t="shared" si="1"/>
        <v/>
      </c>
      <c r="H43" s="5" t="str">
        <f t="shared" si="0"/>
        <v/>
      </c>
    </row>
    <row r="44" spans="7:8" x14ac:dyDescent="0.25">
      <c r="G44" t="str">
        <f t="shared" si="1"/>
        <v/>
      </c>
      <c r="H44" s="5" t="str">
        <f t="shared" si="0"/>
        <v/>
      </c>
    </row>
    <row r="45" spans="7:8" x14ac:dyDescent="0.25">
      <c r="G45" t="str">
        <f t="shared" si="1"/>
        <v/>
      </c>
      <c r="H45" s="5" t="str">
        <f t="shared" si="0"/>
        <v/>
      </c>
    </row>
    <row r="46" spans="7:8" x14ac:dyDescent="0.25">
      <c r="G46" t="str">
        <f t="shared" si="1"/>
        <v/>
      </c>
      <c r="H46" s="5" t="str">
        <f t="shared" si="0"/>
        <v/>
      </c>
    </row>
    <row r="47" spans="7:8" x14ac:dyDescent="0.25">
      <c r="G47" t="str">
        <f t="shared" si="1"/>
        <v/>
      </c>
      <c r="H47" s="5" t="str">
        <f t="shared" si="0"/>
        <v/>
      </c>
    </row>
    <row r="48" spans="7:8" x14ac:dyDescent="0.25">
      <c r="G48" t="str">
        <f t="shared" si="1"/>
        <v/>
      </c>
      <c r="H48" s="5" t="str">
        <f t="shared" si="0"/>
        <v/>
      </c>
    </row>
    <row r="49" spans="7:8" x14ac:dyDescent="0.25">
      <c r="G49" t="str">
        <f t="shared" si="1"/>
        <v/>
      </c>
      <c r="H49" s="5" t="str">
        <f t="shared" si="0"/>
        <v/>
      </c>
    </row>
    <row r="50" spans="7:8" x14ac:dyDescent="0.25">
      <c r="G50" t="str">
        <f t="shared" si="1"/>
        <v/>
      </c>
      <c r="H50" s="5" t="str">
        <f t="shared" si="0"/>
        <v/>
      </c>
    </row>
    <row r="51" spans="7:8" x14ac:dyDescent="0.25">
      <c r="G51" t="str">
        <f t="shared" si="1"/>
        <v/>
      </c>
      <c r="H51" s="5" t="str">
        <f t="shared" si="0"/>
        <v/>
      </c>
    </row>
    <row r="52" spans="7:8" x14ac:dyDescent="0.25">
      <c r="G52" t="str">
        <f t="shared" si="1"/>
        <v/>
      </c>
      <c r="H52" s="5" t="str">
        <f t="shared" si="0"/>
        <v/>
      </c>
    </row>
    <row r="53" spans="7:8" x14ac:dyDescent="0.25">
      <c r="G53" t="str">
        <f t="shared" si="1"/>
        <v/>
      </c>
      <c r="H53" s="5" t="str">
        <f t="shared" si="0"/>
        <v/>
      </c>
    </row>
    <row r="54" spans="7:8" x14ac:dyDescent="0.25">
      <c r="G54" t="str">
        <f t="shared" si="1"/>
        <v/>
      </c>
      <c r="H54" s="5" t="str">
        <f t="shared" si="0"/>
        <v/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C01AAC-7596-44AC-A7D2-2F2F6AA3B3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SP500_Clean</vt:lpstr>
      <vt:lpstr>SP500_Monthly</vt:lpstr>
      <vt:lpstr>VOO_Monthly</vt:lpstr>
      <vt:lpstr>VOO_Raw</vt:lpstr>
      <vt:lpstr>Performance_Summary</vt:lpstr>
      <vt:lpstr>SP500_Raw</vt:lpstr>
      <vt:lpstr>401K_Calculator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Kanwardeep Singh</dc:creator>
  <cp:lastModifiedBy>Kanwardeep Singh</cp:lastModifiedBy>
  <dcterms:created xsi:type="dcterms:W3CDTF">2026-10-15T18:13:33Z</dcterms:created>
  <dcterms:modified xsi:type="dcterms:W3CDTF">2026-10-21T18:20:58Z</dcterms:modified>
</cp:coreProperties>
</file>